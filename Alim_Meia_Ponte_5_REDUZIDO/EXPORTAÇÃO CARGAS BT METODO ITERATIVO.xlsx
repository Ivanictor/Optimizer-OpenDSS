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CC\Alim_Meia_Ponte_5_REDUZIDO\"/>
    </mc:Choice>
  </mc:AlternateContent>
  <xr:revisionPtr revIDLastSave="0" documentId="13_ncr:1_{FA9C44E0-F6CF-4A42-A6A8-843834EB362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_name_1" sheetId="1" r:id="rId1"/>
  </sheets>
  <calcPr calcId="191029"/>
</workbook>
</file>

<file path=xl/calcChain.xml><?xml version="1.0" encoding="utf-8"?>
<calcChain xmlns="http://schemas.openxmlformats.org/spreadsheetml/2006/main">
  <c r="F288" i="1" l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F166" i="1" s="1"/>
  <c r="S167" i="1"/>
  <c r="S168" i="1"/>
  <c r="S169" i="1"/>
  <c r="S170" i="1"/>
  <c r="S171" i="1"/>
  <c r="S172" i="1"/>
  <c r="F172" i="1" s="1"/>
  <c r="S173" i="1"/>
  <c r="F173" i="1" s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F197" i="1" s="1"/>
  <c r="S198" i="1"/>
  <c r="S199" i="1"/>
  <c r="S200" i="1"/>
  <c r="S201" i="1"/>
  <c r="S202" i="1"/>
  <c r="S203" i="1"/>
  <c r="S204" i="1"/>
  <c r="S205" i="1"/>
  <c r="S206" i="1"/>
  <c r="S207" i="1"/>
  <c r="F207" i="1" s="1"/>
  <c r="S208" i="1"/>
  <c r="F208" i="1" s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F229" i="1" s="1"/>
  <c r="S230" i="1"/>
  <c r="S231" i="1"/>
  <c r="F231" i="1" s="1"/>
  <c r="S232" i="1"/>
  <c r="F232" i="1" s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F253" i="1" s="1"/>
  <c r="S254" i="1"/>
  <c r="S255" i="1"/>
  <c r="F255" i="1" s="1"/>
  <c r="S256" i="1"/>
  <c r="F256" i="1" s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F277" i="1" s="1"/>
  <c r="S278" i="1"/>
  <c r="S279" i="1"/>
  <c r="F279" i="1" s="1"/>
  <c r="S280" i="1"/>
  <c r="F280" i="1" s="1"/>
  <c r="S281" i="1"/>
  <c r="S282" i="1"/>
  <c r="S283" i="1"/>
  <c r="S284" i="1"/>
  <c r="S285" i="1"/>
  <c r="S286" i="1"/>
  <c r="F286" i="1" s="1"/>
  <c r="S287" i="1"/>
  <c r="U146" i="1"/>
  <c r="U147" i="1"/>
  <c r="F147" i="1" s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F195" i="1" s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F243" i="1" s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145" i="1"/>
  <c r="S145" i="1"/>
  <c r="F148" i="1"/>
  <c r="F196" i="1"/>
  <c r="F174" i="1"/>
  <c r="F175" i="1"/>
  <c r="F198" i="1"/>
  <c r="F199" i="1"/>
  <c r="F222" i="1"/>
  <c r="F223" i="1"/>
  <c r="F246" i="1"/>
  <c r="F247" i="1"/>
  <c r="F270" i="1"/>
  <c r="F271" i="1"/>
  <c r="F159" i="1"/>
  <c r="F160" i="1"/>
  <c r="F220" i="1"/>
  <c r="F221" i="1"/>
  <c r="F244" i="1"/>
  <c r="F2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I146" i="1"/>
  <c r="I147" i="1"/>
  <c r="I148" i="1"/>
  <c r="I149" i="1"/>
  <c r="I150" i="1"/>
  <c r="F150" i="1" s="1"/>
  <c r="I151" i="1"/>
  <c r="F151" i="1" s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F167" i="1" s="1"/>
  <c r="I168" i="1"/>
  <c r="F168" i="1" s="1"/>
  <c r="I169" i="1"/>
  <c r="I170" i="1"/>
  <c r="I171" i="1"/>
  <c r="F171" i="1" s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F268" i="1" s="1"/>
  <c r="I269" i="1"/>
  <c r="F269" i="1" s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L145" i="1"/>
  <c r="I145" i="1"/>
  <c r="U144" i="1"/>
  <c r="S144" i="1"/>
  <c r="F144" i="1" s="1"/>
  <c r="L144" i="1"/>
  <c r="I144" i="1"/>
  <c r="U143" i="1"/>
  <c r="S143" i="1"/>
  <c r="L143" i="1"/>
  <c r="I143" i="1"/>
  <c r="U142" i="1"/>
  <c r="S142" i="1"/>
  <c r="L142" i="1"/>
  <c r="I142" i="1"/>
  <c r="U141" i="1"/>
  <c r="S141" i="1"/>
  <c r="L141" i="1"/>
  <c r="I141" i="1"/>
  <c r="U140" i="1"/>
  <c r="S140" i="1"/>
  <c r="L140" i="1"/>
  <c r="I140" i="1"/>
  <c r="U139" i="1"/>
  <c r="S139" i="1"/>
  <c r="L139" i="1"/>
  <c r="I139" i="1"/>
  <c r="U138" i="1"/>
  <c r="S138" i="1"/>
  <c r="L138" i="1"/>
  <c r="I138" i="1"/>
  <c r="U137" i="1"/>
  <c r="S137" i="1"/>
  <c r="L137" i="1"/>
  <c r="I137" i="1"/>
  <c r="U136" i="1"/>
  <c r="S136" i="1"/>
  <c r="L136" i="1"/>
  <c r="I136" i="1"/>
  <c r="F136" i="1" s="1"/>
  <c r="U135" i="1"/>
  <c r="S135" i="1"/>
  <c r="L135" i="1"/>
  <c r="I135" i="1"/>
  <c r="U134" i="1"/>
  <c r="S134" i="1"/>
  <c r="L134" i="1"/>
  <c r="I134" i="1"/>
  <c r="U133" i="1"/>
  <c r="S133" i="1"/>
  <c r="L133" i="1"/>
  <c r="I133" i="1"/>
  <c r="U132" i="1"/>
  <c r="S132" i="1"/>
  <c r="L132" i="1"/>
  <c r="I132" i="1"/>
  <c r="U131" i="1"/>
  <c r="S131" i="1"/>
  <c r="L131" i="1"/>
  <c r="I131" i="1"/>
  <c r="U130" i="1"/>
  <c r="S130" i="1"/>
  <c r="L130" i="1"/>
  <c r="I130" i="1"/>
  <c r="F130" i="1" s="1"/>
  <c r="U129" i="1"/>
  <c r="S129" i="1"/>
  <c r="L129" i="1"/>
  <c r="I129" i="1"/>
  <c r="U128" i="1"/>
  <c r="S128" i="1"/>
  <c r="L128" i="1"/>
  <c r="I128" i="1"/>
  <c r="U127" i="1"/>
  <c r="S127" i="1"/>
  <c r="L127" i="1"/>
  <c r="I127" i="1"/>
  <c r="U126" i="1"/>
  <c r="S126" i="1"/>
  <c r="L126" i="1"/>
  <c r="I126" i="1"/>
  <c r="U125" i="1"/>
  <c r="S125" i="1"/>
  <c r="L125" i="1"/>
  <c r="I125" i="1"/>
  <c r="U124" i="1"/>
  <c r="S124" i="1"/>
  <c r="L124" i="1"/>
  <c r="I124" i="1"/>
  <c r="U123" i="1"/>
  <c r="S123" i="1"/>
  <c r="L123" i="1"/>
  <c r="I123" i="1"/>
  <c r="U122" i="1"/>
  <c r="S122" i="1"/>
  <c r="L122" i="1"/>
  <c r="I122" i="1"/>
  <c r="U121" i="1"/>
  <c r="S121" i="1"/>
  <c r="L121" i="1"/>
  <c r="I121" i="1"/>
  <c r="U120" i="1"/>
  <c r="S120" i="1"/>
  <c r="L120" i="1"/>
  <c r="I120" i="1"/>
  <c r="U119" i="1"/>
  <c r="S119" i="1"/>
  <c r="L119" i="1"/>
  <c r="I119" i="1"/>
  <c r="U118" i="1"/>
  <c r="S118" i="1"/>
  <c r="L118" i="1"/>
  <c r="I118" i="1"/>
  <c r="U117" i="1"/>
  <c r="S117" i="1"/>
  <c r="L117" i="1"/>
  <c r="I117" i="1"/>
  <c r="U116" i="1"/>
  <c r="S116" i="1"/>
  <c r="L116" i="1"/>
  <c r="I116" i="1"/>
  <c r="U115" i="1"/>
  <c r="S115" i="1"/>
  <c r="L115" i="1"/>
  <c r="I115" i="1"/>
  <c r="U114" i="1"/>
  <c r="S114" i="1"/>
  <c r="L114" i="1"/>
  <c r="I114" i="1"/>
  <c r="U113" i="1"/>
  <c r="S113" i="1"/>
  <c r="L113" i="1"/>
  <c r="I113" i="1"/>
  <c r="U112" i="1"/>
  <c r="S112" i="1"/>
  <c r="L112" i="1"/>
  <c r="I112" i="1"/>
  <c r="F112" i="1" s="1"/>
  <c r="U111" i="1"/>
  <c r="S111" i="1"/>
  <c r="L111" i="1"/>
  <c r="I111" i="1"/>
  <c r="U110" i="1"/>
  <c r="S110" i="1"/>
  <c r="L110" i="1"/>
  <c r="I110" i="1"/>
  <c r="U109" i="1"/>
  <c r="S109" i="1"/>
  <c r="L109" i="1"/>
  <c r="I109" i="1"/>
  <c r="U108" i="1"/>
  <c r="S108" i="1"/>
  <c r="L108" i="1"/>
  <c r="I108" i="1"/>
  <c r="U107" i="1"/>
  <c r="S107" i="1"/>
  <c r="L107" i="1"/>
  <c r="I107" i="1"/>
  <c r="U106" i="1"/>
  <c r="S106" i="1"/>
  <c r="L106" i="1"/>
  <c r="I106" i="1"/>
  <c r="F106" i="1" s="1"/>
  <c r="U105" i="1"/>
  <c r="S105" i="1"/>
  <c r="L105" i="1"/>
  <c r="I105" i="1"/>
  <c r="U104" i="1"/>
  <c r="S104" i="1"/>
  <c r="L104" i="1"/>
  <c r="I104" i="1"/>
  <c r="U103" i="1"/>
  <c r="S103" i="1"/>
  <c r="L103" i="1"/>
  <c r="I103" i="1"/>
  <c r="U102" i="1"/>
  <c r="S102" i="1"/>
  <c r="L102" i="1"/>
  <c r="I102" i="1"/>
  <c r="U101" i="1"/>
  <c r="S101" i="1"/>
  <c r="L101" i="1"/>
  <c r="I101" i="1"/>
  <c r="U100" i="1"/>
  <c r="S100" i="1"/>
  <c r="L100" i="1"/>
  <c r="I100" i="1"/>
  <c r="U99" i="1"/>
  <c r="S99" i="1"/>
  <c r="L99" i="1"/>
  <c r="I99" i="1"/>
  <c r="U98" i="1"/>
  <c r="S98" i="1"/>
  <c r="L98" i="1"/>
  <c r="I98" i="1"/>
  <c r="U97" i="1"/>
  <c r="S97" i="1"/>
  <c r="L97" i="1"/>
  <c r="I97" i="1"/>
  <c r="U96" i="1"/>
  <c r="S96" i="1"/>
  <c r="L96" i="1"/>
  <c r="I96" i="1"/>
  <c r="U95" i="1"/>
  <c r="S95" i="1"/>
  <c r="L95" i="1"/>
  <c r="I95" i="1"/>
  <c r="U94" i="1"/>
  <c r="S94" i="1"/>
  <c r="L94" i="1"/>
  <c r="I94" i="1"/>
  <c r="U93" i="1"/>
  <c r="S93" i="1"/>
  <c r="L93" i="1"/>
  <c r="I93" i="1"/>
  <c r="U92" i="1"/>
  <c r="S92" i="1"/>
  <c r="L92" i="1"/>
  <c r="I92" i="1"/>
  <c r="U91" i="1"/>
  <c r="S91" i="1"/>
  <c r="L91" i="1"/>
  <c r="I91" i="1"/>
  <c r="U90" i="1"/>
  <c r="S90" i="1"/>
  <c r="L90" i="1"/>
  <c r="I90" i="1"/>
  <c r="U89" i="1"/>
  <c r="S89" i="1"/>
  <c r="L89" i="1"/>
  <c r="I89" i="1"/>
  <c r="U88" i="1"/>
  <c r="S88" i="1"/>
  <c r="L88" i="1"/>
  <c r="I88" i="1"/>
  <c r="F88" i="1" s="1"/>
  <c r="U87" i="1"/>
  <c r="S87" i="1"/>
  <c r="L87" i="1"/>
  <c r="I87" i="1"/>
  <c r="U86" i="1"/>
  <c r="S86" i="1"/>
  <c r="L86" i="1"/>
  <c r="I86" i="1"/>
  <c r="U85" i="1"/>
  <c r="S85" i="1"/>
  <c r="L85" i="1"/>
  <c r="I85" i="1"/>
  <c r="U84" i="1"/>
  <c r="S84" i="1"/>
  <c r="L84" i="1"/>
  <c r="I84" i="1"/>
  <c r="U83" i="1"/>
  <c r="S83" i="1"/>
  <c r="L83" i="1"/>
  <c r="I83" i="1"/>
  <c r="U82" i="1"/>
  <c r="S82" i="1"/>
  <c r="L82" i="1"/>
  <c r="I82" i="1"/>
  <c r="F82" i="1" s="1"/>
  <c r="U81" i="1"/>
  <c r="S81" i="1"/>
  <c r="L81" i="1"/>
  <c r="I81" i="1"/>
  <c r="U80" i="1"/>
  <c r="S80" i="1"/>
  <c r="L80" i="1"/>
  <c r="I80" i="1"/>
  <c r="U79" i="1"/>
  <c r="S79" i="1"/>
  <c r="L79" i="1"/>
  <c r="I79" i="1"/>
  <c r="U78" i="1"/>
  <c r="S78" i="1"/>
  <c r="L78" i="1"/>
  <c r="I78" i="1"/>
  <c r="U77" i="1"/>
  <c r="S77" i="1"/>
  <c r="L77" i="1"/>
  <c r="I77" i="1"/>
  <c r="U76" i="1"/>
  <c r="S76" i="1"/>
  <c r="L76" i="1"/>
  <c r="I76" i="1"/>
  <c r="U75" i="1"/>
  <c r="S75" i="1"/>
  <c r="L75" i="1"/>
  <c r="I75" i="1"/>
  <c r="U74" i="1"/>
  <c r="S74" i="1"/>
  <c r="L74" i="1"/>
  <c r="I74" i="1"/>
  <c r="U73" i="1"/>
  <c r="S73" i="1"/>
  <c r="L73" i="1"/>
  <c r="I73" i="1"/>
  <c r="U72" i="1"/>
  <c r="S72" i="1"/>
  <c r="L72" i="1"/>
  <c r="I72" i="1"/>
  <c r="U71" i="1"/>
  <c r="S71" i="1"/>
  <c r="L71" i="1"/>
  <c r="I71" i="1"/>
  <c r="U70" i="1"/>
  <c r="S70" i="1"/>
  <c r="L70" i="1"/>
  <c r="I70" i="1"/>
  <c r="U69" i="1"/>
  <c r="S69" i="1"/>
  <c r="L69" i="1"/>
  <c r="I69" i="1"/>
  <c r="U68" i="1"/>
  <c r="S68" i="1"/>
  <c r="L68" i="1"/>
  <c r="I68" i="1"/>
  <c r="U67" i="1"/>
  <c r="S67" i="1"/>
  <c r="L67" i="1"/>
  <c r="I67" i="1"/>
  <c r="U66" i="1"/>
  <c r="S66" i="1"/>
  <c r="L66" i="1"/>
  <c r="I66" i="1"/>
  <c r="U65" i="1"/>
  <c r="S65" i="1"/>
  <c r="L65" i="1"/>
  <c r="I65" i="1"/>
  <c r="U64" i="1"/>
  <c r="S64" i="1"/>
  <c r="L64" i="1"/>
  <c r="I64" i="1"/>
  <c r="F64" i="1" s="1"/>
  <c r="U63" i="1"/>
  <c r="S63" i="1"/>
  <c r="L63" i="1"/>
  <c r="I63" i="1"/>
  <c r="U62" i="1"/>
  <c r="S62" i="1"/>
  <c r="L62" i="1"/>
  <c r="I62" i="1"/>
  <c r="U61" i="1"/>
  <c r="S61" i="1"/>
  <c r="L61" i="1"/>
  <c r="I61" i="1"/>
  <c r="U60" i="1"/>
  <c r="S60" i="1"/>
  <c r="L60" i="1"/>
  <c r="I60" i="1"/>
  <c r="U59" i="1"/>
  <c r="S59" i="1"/>
  <c r="L59" i="1"/>
  <c r="I59" i="1"/>
  <c r="U58" i="1"/>
  <c r="S58" i="1"/>
  <c r="L58" i="1"/>
  <c r="I58" i="1"/>
  <c r="F58" i="1" s="1"/>
  <c r="U57" i="1"/>
  <c r="S57" i="1"/>
  <c r="L57" i="1"/>
  <c r="I57" i="1"/>
  <c r="U56" i="1"/>
  <c r="S56" i="1"/>
  <c r="L56" i="1"/>
  <c r="I56" i="1"/>
  <c r="U55" i="1"/>
  <c r="S55" i="1"/>
  <c r="L55" i="1"/>
  <c r="I55" i="1"/>
  <c r="U54" i="1"/>
  <c r="S54" i="1"/>
  <c r="L54" i="1"/>
  <c r="I54" i="1"/>
  <c r="U53" i="1"/>
  <c r="S53" i="1"/>
  <c r="L53" i="1"/>
  <c r="I53" i="1"/>
  <c r="F53" i="1" s="1"/>
  <c r="U52" i="1"/>
  <c r="S52" i="1"/>
  <c r="L52" i="1"/>
  <c r="I52" i="1"/>
  <c r="U51" i="1"/>
  <c r="S51" i="1"/>
  <c r="L51" i="1"/>
  <c r="I51" i="1"/>
  <c r="U50" i="1"/>
  <c r="S50" i="1"/>
  <c r="L50" i="1"/>
  <c r="I50" i="1"/>
  <c r="U49" i="1"/>
  <c r="S49" i="1"/>
  <c r="L49" i="1"/>
  <c r="I49" i="1"/>
  <c r="U48" i="1"/>
  <c r="S48" i="1"/>
  <c r="L48" i="1"/>
  <c r="I48" i="1"/>
  <c r="U47" i="1"/>
  <c r="S47" i="1"/>
  <c r="L47" i="1"/>
  <c r="I47" i="1"/>
  <c r="U46" i="1"/>
  <c r="S46" i="1"/>
  <c r="L46" i="1"/>
  <c r="I46" i="1"/>
  <c r="U45" i="1"/>
  <c r="S45" i="1"/>
  <c r="L45" i="1"/>
  <c r="I45" i="1"/>
  <c r="U44" i="1"/>
  <c r="S44" i="1"/>
  <c r="L44" i="1"/>
  <c r="I44" i="1"/>
  <c r="U43" i="1"/>
  <c r="S43" i="1"/>
  <c r="L43" i="1"/>
  <c r="I43" i="1"/>
  <c r="U42" i="1"/>
  <c r="S42" i="1"/>
  <c r="L42" i="1"/>
  <c r="I42" i="1"/>
  <c r="U41" i="1"/>
  <c r="S41" i="1"/>
  <c r="L41" i="1"/>
  <c r="I41" i="1"/>
  <c r="U40" i="1"/>
  <c r="S40" i="1"/>
  <c r="L40" i="1"/>
  <c r="I40" i="1"/>
  <c r="F40" i="1" s="1"/>
  <c r="U39" i="1"/>
  <c r="S39" i="1"/>
  <c r="L39" i="1"/>
  <c r="I39" i="1"/>
  <c r="U38" i="1"/>
  <c r="S38" i="1"/>
  <c r="L38" i="1"/>
  <c r="I38" i="1"/>
  <c r="U37" i="1"/>
  <c r="S37" i="1"/>
  <c r="L37" i="1"/>
  <c r="I37" i="1"/>
  <c r="U36" i="1"/>
  <c r="S36" i="1"/>
  <c r="L36" i="1"/>
  <c r="I36" i="1"/>
  <c r="U35" i="1"/>
  <c r="S35" i="1"/>
  <c r="L35" i="1"/>
  <c r="I35" i="1"/>
  <c r="U34" i="1"/>
  <c r="S34" i="1"/>
  <c r="L34" i="1"/>
  <c r="I34" i="1"/>
  <c r="F34" i="1" s="1"/>
  <c r="U33" i="1"/>
  <c r="S33" i="1"/>
  <c r="L33" i="1"/>
  <c r="I33" i="1"/>
  <c r="U32" i="1"/>
  <c r="S32" i="1"/>
  <c r="L32" i="1"/>
  <c r="I32" i="1"/>
  <c r="U31" i="1"/>
  <c r="S31" i="1"/>
  <c r="L31" i="1"/>
  <c r="I31" i="1"/>
  <c r="U30" i="1"/>
  <c r="S30" i="1"/>
  <c r="L30" i="1"/>
  <c r="I30" i="1"/>
  <c r="U29" i="1"/>
  <c r="S29" i="1"/>
  <c r="L29" i="1"/>
  <c r="I29" i="1"/>
  <c r="U28" i="1"/>
  <c r="S28" i="1"/>
  <c r="L28" i="1"/>
  <c r="I28" i="1"/>
  <c r="U27" i="1"/>
  <c r="S27" i="1"/>
  <c r="L27" i="1"/>
  <c r="I27" i="1"/>
  <c r="U26" i="1"/>
  <c r="S26" i="1"/>
  <c r="L26" i="1"/>
  <c r="I26" i="1"/>
  <c r="U25" i="1"/>
  <c r="S25" i="1"/>
  <c r="L25" i="1"/>
  <c r="I25" i="1"/>
  <c r="U24" i="1"/>
  <c r="S24" i="1"/>
  <c r="L24" i="1"/>
  <c r="I24" i="1"/>
  <c r="U23" i="1"/>
  <c r="S23" i="1"/>
  <c r="L23" i="1"/>
  <c r="I23" i="1"/>
  <c r="U22" i="1"/>
  <c r="S22" i="1"/>
  <c r="L22" i="1"/>
  <c r="I22" i="1"/>
  <c r="U21" i="1"/>
  <c r="S21" i="1"/>
  <c r="L21" i="1"/>
  <c r="I21" i="1"/>
  <c r="U20" i="1"/>
  <c r="S20" i="1"/>
  <c r="L20" i="1"/>
  <c r="I20" i="1"/>
  <c r="U19" i="1"/>
  <c r="S19" i="1"/>
  <c r="L19" i="1"/>
  <c r="I19" i="1"/>
  <c r="U18" i="1"/>
  <c r="S18" i="1"/>
  <c r="L18" i="1"/>
  <c r="I18" i="1"/>
  <c r="U17" i="1"/>
  <c r="S17" i="1"/>
  <c r="L17" i="1"/>
  <c r="I17" i="1"/>
  <c r="U16" i="1"/>
  <c r="S16" i="1"/>
  <c r="L16" i="1"/>
  <c r="I16" i="1"/>
  <c r="F16" i="1" s="1"/>
  <c r="U15" i="1"/>
  <c r="S15" i="1"/>
  <c r="L15" i="1"/>
  <c r="I15" i="1"/>
  <c r="U14" i="1"/>
  <c r="S14" i="1"/>
  <c r="L14" i="1"/>
  <c r="I14" i="1"/>
  <c r="U13" i="1"/>
  <c r="S13" i="1"/>
  <c r="L13" i="1"/>
  <c r="I13" i="1"/>
  <c r="U12" i="1"/>
  <c r="S12" i="1"/>
  <c r="L12" i="1"/>
  <c r="I12" i="1"/>
  <c r="U11" i="1"/>
  <c r="S11" i="1"/>
  <c r="L11" i="1"/>
  <c r="I11" i="1"/>
  <c r="U10" i="1"/>
  <c r="S10" i="1"/>
  <c r="L10" i="1"/>
  <c r="I10" i="1"/>
  <c r="F10" i="1" s="1"/>
  <c r="U9" i="1"/>
  <c r="S9" i="1"/>
  <c r="L9" i="1"/>
  <c r="I9" i="1"/>
  <c r="U8" i="1"/>
  <c r="S8" i="1"/>
  <c r="L8" i="1"/>
  <c r="I8" i="1"/>
  <c r="U7" i="1"/>
  <c r="S7" i="1"/>
  <c r="L7" i="1"/>
  <c r="I7" i="1"/>
  <c r="U6" i="1"/>
  <c r="S6" i="1"/>
  <c r="L6" i="1"/>
  <c r="I6" i="1"/>
  <c r="U5" i="1"/>
  <c r="S5" i="1"/>
  <c r="L5" i="1"/>
  <c r="I5" i="1"/>
  <c r="U4" i="1"/>
  <c r="S4" i="1"/>
  <c r="L4" i="1"/>
  <c r="I4" i="1"/>
  <c r="U3" i="1"/>
  <c r="S3" i="1"/>
  <c r="L3" i="1"/>
  <c r="I3" i="1"/>
  <c r="U2" i="1"/>
  <c r="S2" i="1"/>
  <c r="L2" i="1"/>
  <c r="I2" i="1"/>
  <c r="F267" i="1" l="1"/>
  <c r="F219" i="1"/>
  <c r="F240" i="1"/>
  <c r="F263" i="1"/>
  <c r="F215" i="1"/>
  <c r="F190" i="1"/>
  <c r="F262" i="1"/>
  <c r="F287" i="1"/>
  <c r="F238" i="1"/>
  <c r="F264" i="1"/>
  <c r="F216" i="1"/>
  <c r="F192" i="1"/>
  <c r="F239" i="1"/>
  <c r="F191" i="1"/>
  <c r="F214" i="1"/>
  <c r="F184" i="1"/>
  <c r="F183" i="1"/>
  <c r="F205" i="1"/>
  <c r="F181" i="1"/>
  <c r="F157" i="1"/>
  <c r="F149" i="1"/>
  <c r="F254" i="1"/>
  <c r="F182" i="1"/>
  <c r="F228" i="1"/>
  <c r="F156" i="1"/>
  <c r="F251" i="1"/>
  <c r="F155" i="1"/>
  <c r="F250" i="1"/>
  <c r="F154" i="1"/>
  <c r="F266" i="1"/>
  <c r="F242" i="1"/>
  <c r="F218" i="1"/>
  <c r="F194" i="1"/>
  <c r="F170" i="1"/>
  <c r="F146" i="1"/>
  <c r="F265" i="1"/>
  <c r="F241" i="1"/>
  <c r="F217" i="1"/>
  <c r="F193" i="1"/>
  <c r="F169" i="1"/>
  <c r="F285" i="1"/>
  <c r="F261" i="1"/>
  <c r="F237" i="1"/>
  <c r="F213" i="1"/>
  <c r="F189" i="1"/>
  <c r="F165" i="1"/>
  <c r="F284" i="1"/>
  <c r="F260" i="1"/>
  <c r="F236" i="1"/>
  <c r="F212" i="1"/>
  <c r="F188" i="1"/>
  <c r="F164" i="1"/>
  <c r="F283" i="1"/>
  <c r="F259" i="1"/>
  <c r="F235" i="1"/>
  <c r="F211" i="1"/>
  <c r="F187" i="1"/>
  <c r="F163" i="1"/>
  <c r="F282" i="1"/>
  <c r="F258" i="1"/>
  <c r="F234" i="1"/>
  <c r="F210" i="1"/>
  <c r="F186" i="1"/>
  <c r="F162" i="1"/>
  <c r="F281" i="1"/>
  <c r="F257" i="1"/>
  <c r="F233" i="1"/>
  <c r="F209" i="1"/>
  <c r="F185" i="1"/>
  <c r="F161" i="1"/>
  <c r="F158" i="1"/>
  <c r="F276" i="1"/>
  <c r="F179" i="1"/>
  <c r="F274" i="1"/>
  <c r="F273" i="1"/>
  <c r="F249" i="1"/>
  <c r="F225" i="1"/>
  <c r="F201" i="1"/>
  <c r="F177" i="1"/>
  <c r="F153" i="1"/>
  <c r="F278" i="1"/>
  <c r="F206" i="1"/>
  <c r="F204" i="1"/>
  <c r="F227" i="1"/>
  <c r="F226" i="1"/>
  <c r="F272" i="1"/>
  <c r="F248" i="1"/>
  <c r="F224" i="1"/>
  <c r="F200" i="1"/>
  <c r="F176" i="1"/>
  <c r="F152" i="1"/>
  <c r="F252" i="1"/>
  <c r="F203" i="1"/>
  <c r="F178" i="1"/>
  <c r="F230" i="1"/>
  <c r="F180" i="1"/>
  <c r="F275" i="1"/>
  <c r="F202" i="1"/>
  <c r="F111" i="1"/>
  <c r="F87" i="1"/>
  <c r="F117" i="1"/>
  <c r="F44" i="1"/>
  <c r="F68" i="1"/>
  <c r="F140" i="1"/>
  <c r="F139" i="1"/>
  <c r="F15" i="1"/>
  <c r="F21" i="1"/>
  <c r="F39" i="1"/>
  <c r="F45" i="1"/>
  <c r="F63" i="1"/>
  <c r="F69" i="1"/>
  <c r="F135" i="1"/>
  <c r="F141" i="1"/>
  <c r="F14" i="1"/>
  <c r="F32" i="1"/>
  <c r="F50" i="1"/>
  <c r="F86" i="1"/>
  <c r="F20" i="1"/>
  <c r="F38" i="1"/>
  <c r="F56" i="1"/>
  <c r="F80" i="1"/>
  <c r="F98" i="1"/>
  <c r="F110" i="1"/>
  <c r="F122" i="1"/>
  <c r="F134" i="1"/>
  <c r="F11" i="1"/>
  <c r="F29" i="1"/>
  <c r="F41" i="1"/>
  <c r="F43" i="1"/>
  <c r="F145" i="1"/>
  <c r="F2" i="1"/>
  <c r="F8" i="1"/>
  <c r="F26" i="1"/>
  <c r="F62" i="1"/>
  <c r="F74" i="1"/>
  <c r="F92" i="1"/>
  <c r="F104" i="1"/>
  <c r="F116" i="1"/>
  <c r="F128" i="1"/>
  <c r="F5" i="1"/>
  <c r="F17" i="1"/>
  <c r="F35" i="1"/>
  <c r="F59" i="1"/>
  <c r="F19" i="1"/>
  <c r="F90" i="1"/>
  <c r="F7" i="1"/>
  <c r="F25" i="1"/>
  <c r="F31" i="1"/>
  <c r="F37" i="1"/>
  <c r="F49" i="1"/>
  <c r="F55" i="1"/>
  <c r="F61" i="1"/>
  <c r="F67" i="1"/>
  <c r="F73" i="1"/>
  <c r="F79" i="1"/>
  <c r="F85" i="1"/>
  <c r="F91" i="1"/>
  <c r="F97" i="1"/>
  <c r="F103" i="1"/>
  <c r="F109" i="1"/>
  <c r="F115" i="1"/>
  <c r="F121" i="1"/>
  <c r="F127" i="1"/>
  <c r="F133" i="1"/>
  <c r="F4" i="1"/>
  <c r="F28" i="1"/>
  <c r="F46" i="1"/>
  <c r="F52" i="1"/>
  <c r="F70" i="1"/>
  <c r="F76" i="1"/>
  <c r="F94" i="1"/>
  <c r="F100" i="1"/>
  <c r="F118" i="1"/>
  <c r="F124" i="1"/>
  <c r="F142" i="1"/>
  <c r="F3" i="1"/>
  <c r="F27" i="1"/>
  <c r="F51" i="1"/>
  <c r="F75" i="1"/>
  <c r="F93" i="1"/>
  <c r="F105" i="1"/>
  <c r="F129" i="1"/>
  <c r="F22" i="1"/>
  <c r="F13" i="1"/>
  <c r="F9" i="1"/>
  <c r="F33" i="1"/>
  <c r="F57" i="1"/>
  <c r="F81" i="1"/>
  <c r="F99" i="1"/>
  <c r="F123" i="1"/>
  <c r="F23" i="1"/>
  <c r="F47" i="1"/>
  <c r="F65" i="1"/>
  <c r="F71" i="1"/>
  <c r="F77" i="1"/>
  <c r="F83" i="1"/>
  <c r="F89" i="1"/>
  <c r="F95" i="1"/>
  <c r="F101" i="1"/>
  <c r="F107" i="1"/>
  <c r="F113" i="1"/>
  <c r="F119" i="1"/>
  <c r="F125" i="1"/>
  <c r="F131" i="1"/>
  <c r="F137" i="1"/>
  <c r="F143" i="1"/>
  <c r="F6" i="1"/>
  <c r="F12" i="1"/>
  <c r="F18" i="1"/>
  <c r="F24" i="1"/>
  <c r="F30" i="1"/>
  <c r="F36" i="1"/>
  <c r="F42" i="1"/>
  <c r="F48" i="1"/>
  <c r="F54" i="1"/>
  <c r="F60" i="1"/>
  <c r="F66" i="1"/>
  <c r="F72" i="1"/>
  <c r="F78" i="1"/>
  <c r="F84" i="1"/>
  <c r="F96" i="1"/>
  <c r="F102" i="1"/>
  <c r="F108" i="1"/>
  <c r="F114" i="1"/>
  <c r="F120" i="1"/>
  <c r="F126" i="1"/>
  <c r="F132" i="1"/>
  <c r="F138" i="1"/>
</calcChain>
</file>

<file path=xl/sharedStrings.xml><?xml version="1.0" encoding="utf-8"?>
<sst xmlns="http://schemas.openxmlformats.org/spreadsheetml/2006/main" count="5185" uniqueCount="471">
  <si>
    <t>Nome</t>
  </si>
  <si>
    <t>m2_trf_5286699a</t>
  </si>
  <si>
    <t>m2_trf_5286707a</t>
  </si>
  <si>
    <t>m2_trf_5286708a</t>
  </si>
  <si>
    <t>m2_trf_5286718a</t>
  </si>
  <si>
    <t>m2_trf_5286787a</t>
  </si>
  <si>
    <t>m2_trf_5286788a</t>
  </si>
  <si>
    <t>m2_trf_5286789a</t>
  </si>
  <si>
    <t>m2_trf_5286790a</t>
  </si>
  <si>
    <t>m2_trf_5286791a</t>
  </si>
  <si>
    <t>m2_trf_5286792a</t>
  </si>
  <si>
    <t>m2_trf_5286793a</t>
  </si>
  <si>
    <t>m2_trf_5286794a</t>
  </si>
  <si>
    <t>m2_trf_5286795a</t>
  </si>
  <si>
    <t>m2_trf_5286796a</t>
  </si>
  <si>
    <t>m2_trf_5286797a</t>
  </si>
  <si>
    <t>m2_trf_5286798a</t>
  </si>
  <si>
    <t>m2_trf_5286799a</t>
  </si>
  <si>
    <t>m2_trf_5286800a</t>
  </si>
  <si>
    <t>m2_trf_5286801a</t>
  </si>
  <si>
    <t>m2_trf_5286802a</t>
  </si>
  <si>
    <t>m2_trf_5286803a</t>
  </si>
  <si>
    <t>m2_trf_5286804a</t>
  </si>
  <si>
    <t>m2_trf_5286805a</t>
  </si>
  <si>
    <t>m2_trf_5286806a</t>
  </si>
  <si>
    <t>m2_trf_5286807a</t>
  </si>
  <si>
    <t>m2_trf_5286808a</t>
  </si>
  <si>
    <t>m2_trf_5286809a</t>
  </si>
  <si>
    <t>m2_trf_5286810a</t>
  </si>
  <si>
    <t>m2_trf_5286811a</t>
  </si>
  <si>
    <t>m2_trf_5286812a</t>
  </si>
  <si>
    <t>m2_trf_5286813a</t>
  </si>
  <si>
    <t>m2_trf_5286814a</t>
  </si>
  <si>
    <t>m2_trf_5286815a</t>
  </si>
  <si>
    <t>m2_trf_5286816a</t>
  </si>
  <si>
    <t>m2_trf_5286817a</t>
  </si>
  <si>
    <t>m2_trf_5286818a</t>
  </si>
  <si>
    <t>m2_trf_5286819a</t>
  </si>
  <si>
    <t>m2_trf_5286820a</t>
  </si>
  <si>
    <t>m2_trf_5286821a</t>
  </si>
  <si>
    <t>m2_trf_5286828a</t>
  </si>
  <si>
    <t>m2_trf_5286829a</t>
  </si>
  <si>
    <t>m2_trf_5286830a</t>
  </si>
  <si>
    <t>m2_trf_5286831a</t>
  </si>
  <si>
    <t>m2_trf_5286832a</t>
  </si>
  <si>
    <t>m2_trf_5286833a</t>
  </si>
  <si>
    <t>m2_trf_5286834a</t>
  </si>
  <si>
    <t>m2_trf_5286835a</t>
  </si>
  <si>
    <t>m2_trf_5286836a</t>
  </si>
  <si>
    <t>m2_trf_5286837a</t>
  </si>
  <si>
    <t>m2_trf_5286838a</t>
  </si>
  <si>
    <t>m2_trf_5286839a</t>
  </si>
  <si>
    <t>m2_trf_5286840a</t>
  </si>
  <si>
    <t>m2_trf_5286841a</t>
  </si>
  <si>
    <t>m2_trf_5286842a</t>
  </si>
  <si>
    <t>m2_trf_5286843a</t>
  </si>
  <si>
    <t>m2_trf_5286844a</t>
  </si>
  <si>
    <t>m2_trf_5286845a</t>
  </si>
  <si>
    <t>m2_trf_5286846a</t>
  </si>
  <si>
    <t>m2_trf_5286857a</t>
  </si>
  <si>
    <t>m2_trf_5286858a</t>
  </si>
  <si>
    <t>m2_trf_5286860a</t>
  </si>
  <si>
    <t>m2_trf_5286861a</t>
  </si>
  <si>
    <t>m2_trf_5286862a</t>
  </si>
  <si>
    <t>m2_trf_5286863a</t>
  </si>
  <si>
    <t>m2_trf_5286864a</t>
  </si>
  <si>
    <t>m2_trf_5286865a</t>
  </si>
  <si>
    <t>m2_trf_5286866a</t>
  </si>
  <si>
    <t>m2_trf_5286867a</t>
  </si>
  <si>
    <t>m2_trf_5286871a</t>
  </si>
  <si>
    <t>m2_trf_5286872a</t>
  </si>
  <si>
    <t>m2_trf_5286890a</t>
  </si>
  <si>
    <t>m2_trf_5286891a</t>
  </si>
  <si>
    <t>m2_trf_5286914a</t>
  </si>
  <si>
    <t>m2_trf_5286915a</t>
  </si>
  <si>
    <t>m2_trf_5286916a</t>
  </si>
  <si>
    <t>m2_trf_5286917a</t>
  </si>
  <si>
    <t>m2_trf_5286918a</t>
  </si>
  <si>
    <t>m2_trf_5286919a</t>
  </si>
  <si>
    <t>m2_trf_5286930a</t>
  </si>
  <si>
    <t>m2_trf_5286931a</t>
  </si>
  <si>
    <t>m2_trf_5286932a</t>
  </si>
  <si>
    <t>m2_trf_5286933a</t>
  </si>
  <si>
    <t>m2_trf_5286934a</t>
  </si>
  <si>
    <t>m2_trf_5286935a</t>
  </si>
  <si>
    <t>m2_trf_5286936a</t>
  </si>
  <si>
    <t>m2_trf_5286937a</t>
  </si>
  <si>
    <t>m2_trf_5286938a</t>
  </si>
  <si>
    <t>m2_trf_5286939a</t>
  </si>
  <si>
    <t>m2_trf_5286940a</t>
  </si>
  <si>
    <t>m2_trf_5286941a</t>
  </si>
  <si>
    <t>m2_trf_5286942a</t>
  </si>
  <si>
    <t>m2_trf_5286943a</t>
  </si>
  <si>
    <t>m2_trf_5286944a</t>
  </si>
  <si>
    <t>m2_trf_5286945a</t>
  </si>
  <si>
    <t>m2_trf_5286946a</t>
  </si>
  <si>
    <t>m2_trf_5440862a</t>
  </si>
  <si>
    <t>m2_trf_5469845a</t>
  </si>
  <si>
    <t>m2_trf_5470133a</t>
  </si>
  <si>
    <t>m2_trf_5472282a</t>
  </si>
  <si>
    <t>m2_trf_5479360a</t>
  </si>
  <si>
    <t>m2_trf_5491509a</t>
  </si>
  <si>
    <t>m2_trf_5499009a</t>
  </si>
  <si>
    <t>m2_trf_5485359a</t>
  </si>
  <si>
    <t>m2_trf_5502834a</t>
  </si>
  <si>
    <t>m2_trf_5505307a</t>
  </si>
  <si>
    <t>m2_trf_5535535a</t>
  </si>
  <si>
    <t>m2_trf_5537656a</t>
  </si>
  <si>
    <t>m2_trf_5547722a</t>
  </si>
  <si>
    <t>m2_trf_5551754a</t>
  </si>
  <si>
    <t>m2_trf_5552038a</t>
  </si>
  <si>
    <t>m2_trf_5552309a</t>
  </si>
  <si>
    <t>m2_trf_5552553a</t>
  </si>
  <si>
    <t>m2_trf_5552819a</t>
  </si>
  <si>
    <t>m2_trf_5569878a</t>
  </si>
  <si>
    <t>m2_trf_5555964a</t>
  </si>
  <si>
    <t>m2_trf_5557353a</t>
  </si>
  <si>
    <t>m2_trf_5558213a</t>
  </si>
  <si>
    <t>m2_trf_5560489a</t>
  </si>
  <si>
    <t>m2_trf_5574596a</t>
  </si>
  <si>
    <t>m2_trf_5577671a</t>
  </si>
  <si>
    <t>m2_trf_5286947a</t>
  </si>
  <si>
    <t>m2_trf_5286958a</t>
  </si>
  <si>
    <t>m2_trf_5286959a</t>
  </si>
  <si>
    <t>m2_trf_5286960a</t>
  </si>
  <si>
    <t>m2_trf_5286961a</t>
  </si>
  <si>
    <t>m2_trf_5286962a</t>
  </si>
  <si>
    <t>m2_trf_5286963a</t>
  </si>
  <si>
    <t>m2_trf_5286964a</t>
  </si>
  <si>
    <t>m2_trf_5286965a</t>
  </si>
  <si>
    <t>m2_trf_5286966a</t>
  </si>
  <si>
    <t>m2_trf_5286967a</t>
  </si>
  <si>
    <t>m2_trf_5647498a</t>
  </si>
  <si>
    <t>m2_trf_5688575a</t>
  </si>
  <si>
    <t>m2_trf_5675373a</t>
  </si>
  <si>
    <t>m2_trf_5323939a</t>
  </si>
  <si>
    <t>m2_trf_5702287a</t>
  </si>
  <si>
    <t>m2_trf_5713817a</t>
  </si>
  <si>
    <t>m2_trf_5719448a</t>
  </si>
  <si>
    <t>m2_trf_5333902a</t>
  </si>
  <si>
    <t>m2_trf_5740255a</t>
  </si>
  <si>
    <t>m2_trf_5740270a</t>
  </si>
  <si>
    <t>m2_trf_5744153a</t>
  </si>
  <si>
    <t>m2_trf_5444435a</t>
  </si>
  <si>
    <t>bus2</t>
  </si>
  <si>
    <t>82034475286699</t>
  </si>
  <si>
    <t>82034835286707</t>
  </si>
  <si>
    <t>82034845286708</t>
  </si>
  <si>
    <t>82053655286718</t>
  </si>
  <si>
    <t>82023305286787</t>
  </si>
  <si>
    <t>82023395286788</t>
  </si>
  <si>
    <t>82022295286789</t>
  </si>
  <si>
    <t>82022455286790</t>
  </si>
  <si>
    <t>82022605286791</t>
  </si>
  <si>
    <t>82019965286792</t>
  </si>
  <si>
    <t>82020055286793</t>
  </si>
  <si>
    <t>82020175286794</t>
  </si>
  <si>
    <t>82020405286795</t>
  </si>
  <si>
    <t>82020555286796</t>
  </si>
  <si>
    <t>82020675286797</t>
  </si>
  <si>
    <t>82021885286798</t>
  </si>
  <si>
    <t>82021995286799</t>
  </si>
  <si>
    <t>82024325286800</t>
  </si>
  <si>
    <t>82022225286801</t>
  </si>
  <si>
    <t>82021615286802</t>
  </si>
  <si>
    <t>82036745286803</t>
  </si>
  <si>
    <t>82033055286804</t>
  </si>
  <si>
    <t>82033395286805</t>
  </si>
  <si>
    <t>82024965286806</t>
  </si>
  <si>
    <t>90855665286807</t>
  </si>
  <si>
    <t>82027905286808</t>
  </si>
  <si>
    <t>82028045286809</t>
  </si>
  <si>
    <t>82028035286810</t>
  </si>
  <si>
    <t>82026685286811</t>
  </si>
  <si>
    <t>82026915286812</t>
  </si>
  <si>
    <t>82028365286813</t>
  </si>
  <si>
    <t>82027655286814</t>
  </si>
  <si>
    <t>82027735286815</t>
  </si>
  <si>
    <t>82029355286816</t>
  </si>
  <si>
    <t>82029275286817</t>
  </si>
  <si>
    <t>82028855286818</t>
  </si>
  <si>
    <t>82027135286819</t>
  </si>
  <si>
    <t>82026625286820</t>
  </si>
  <si>
    <t>82025745286821</t>
  </si>
  <si>
    <t>82042655286828</t>
  </si>
  <si>
    <t>81490995286829</t>
  </si>
  <si>
    <t>81460505286830</t>
  </si>
  <si>
    <t>82043025286831</t>
  </si>
  <si>
    <t>82042575286832</t>
  </si>
  <si>
    <t>82041995286833</t>
  </si>
  <si>
    <t>82038095286834</t>
  </si>
  <si>
    <t>82038115286835</t>
  </si>
  <si>
    <t>82041105286836</t>
  </si>
  <si>
    <t>82041215286837</t>
  </si>
  <si>
    <t>82041905286838</t>
  </si>
  <si>
    <t>82038825286839</t>
  </si>
  <si>
    <t>82037555286840</t>
  </si>
  <si>
    <t>82039455286841</t>
  </si>
  <si>
    <t>82039695286842</t>
  </si>
  <si>
    <t>82042105286843</t>
  </si>
  <si>
    <t>82042165286844</t>
  </si>
  <si>
    <t>82042275286845</t>
  </si>
  <si>
    <t>82041545286846</t>
  </si>
  <si>
    <t>82062475286857</t>
  </si>
  <si>
    <t>82064145286858</t>
  </si>
  <si>
    <t>82065235286860</t>
  </si>
  <si>
    <t>82064065286861</t>
  </si>
  <si>
    <t>82065285286862</t>
  </si>
  <si>
    <t>82064825286863</t>
  </si>
  <si>
    <t>82064425286864</t>
  </si>
  <si>
    <t>82065005286865</t>
  </si>
  <si>
    <t>82063385286866</t>
  </si>
  <si>
    <t>82044385286867</t>
  </si>
  <si>
    <t>82055725286871</t>
  </si>
  <si>
    <t>82054825286872</t>
  </si>
  <si>
    <t>82056915286890</t>
  </si>
  <si>
    <t>82056385286891</t>
  </si>
  <si>
    <t>82053635286914</t>
  </si>
  <si>
    <t>82054535286915</t>
  </si>
  <si>
    <t>82054235286916</t>
  </si>
  <si>
    <t>82054305286917</t>
  </si>
  <si>
    <t>82053975286918</t>
  </si>
  <si>
    <t>82060535286919</t>
  </si>
  <si>
    <t>82049375286930</t>
  </si>
  <si>
    <t>82049545286931</t>
  </si>
  <si>
    <t>82049765286932</t>
  </si>
  <si>
    <t>82049805286933</t>
  </si>
  <si>
    <t>82049885286934</t>
  </si>
  <si>
    <t>82050325286935</t>
  </si>
  <si>
    <t>82049975286936</t>
  </si>
  <si>
    <t>82050035286937</t>
  </si>
  <si>
    <t>82050465286938</t>
  </si>
  <si>
    <t>82039815286939</t>
  </si>
  <si>
    <t>82039945286940</t>
  </si>
  <si>
    <t>82040015286941</t>
  </si>
  <si>
    <t>82040165286942</t>
  </si>
  <si>
    <t>82040265286943</t>
  </si>
  <si>
    <t>82039725286944</t>
  </si>
  <si>
    <t>82040415286945</t>
  </si>
  <si>
    <t>82040575286946</t>
  </si>
  <si>
    <t>81479715440862</t>
  </si>
  <si>
    <t>82032105469845</t>
  </si>
  <si>
    <t>82034125470133</t>
  </si>
  <si>
    <t>87774405472282</t>
  </si>
  <si>
    <t>81460535479360</t>
  </si>
  <si>
    <t>88287355491509</t>
  </si>
  <si>
    <t>82062715499009</t>
  </si>
  <si>
    <t>88109845485359</t>
  </si>
  <si>
    <t>82026575502834</t>
  </si>
  <si>
    <t>82034555505307</t>
  </si>
  <si>
    <t>89701935535535</t>
  </si>
  <si>
    <t>89813615537656</t>
  </si>
  <si>
    <t>90017985547722</t>
  </si>
  <si>
    <t>82061675551754</t>
  </si>
  <si>
    <t>90190165552038</t>
  </si>
  <si>
    <t>82024125552309</t>
  </si>
  <si>
    <t>90214315552553</t>
  </si>
  <si>
    <t>82032765552819</t>
  </si>
  <si>
    <t>82055955569878</t>
  </si>
  <si>
    <t>90305705555964</t>
  </si>
  <si>
    <t>82044325557353</t>
  </si>
  <si>
    <t>90349975558213</t>
  </si>
  <si>
    <t>90409505560489</t>
  </si>
  <si>
    <t>82031945574596</t>
  </si>
  <si>
    <t>90938795577671</t>
  </si>
  <si>
    <t>82040855286947</t>
  </si>
  <si>
    <t>82031405286958</t>
  </si>
  <si>
    <t>82031445286959</t>
  </si>
  <si>
    <t>82033945286960</t>
  </si>
  <si>
    <t>97400945286961</t>
  </si>
  <si>
    <t>82034445286962</t>
  </si>
  <si>
    <t>82035255286963</t>
  </si>
  <si>
    <t>82036275286964</t>
  </si>
  <si>
    <t>82035485286965</t>
  </si>
  <si>
    <t>82036045286966</t>
  </si>
  <si>
    <t>82029725286967</t>
  </si>
  <si>
    <t>93119985647498</t>
  </si>
  <si>
    <t>82054155688575</t>
  </si>
  <si>
    <t>93945325675373</t>
  </si>
  <si>
    <t>84503635323939</t>
  </si>
  <si>
    <t>90017935702287</t>
  </si>
  <si>
    <t>82034385713817</t>
  </si>
  <si>
    <t>95141555719448</t>
  </si>
  <si>
    <t>85167275333902</t>
  </si>
  <si>
    <t>82056945740255</t>
  </si>
  <si>
    <t>96033635740270</t>
  </si>
  <si>
    <t>96264655744153</t>
  </si>
  <si>
    <t>81481405444435</t>
  </si>
  <si>
    <t>kw</t>
  </si>
  <si>
    <t>kvar</t>
  </si>
  <si>
    <t>New</t>
  </si>
  <si>
    <t xml:space="preserve">" </t>
  </si>
  <si>
    <t>bus1="</t>
  </si>
  <si>
    <t>.1.2.3.4"</t>
  </si>
  <si>
    <t xml:space="preserve"> phases=3</t>
  </si>
  <si>
    <t xml:space="preserve"> conn=Wye</t>
  </si>
  <si>
    <t xml:space="preserve"> model=3</t>
  </si>
  <si>
    <t xml:space="preserve"> kv=0.380</t>
  </si>
  <si>
    <t xml:space="preserve"> kw=</t>
  </si>
  <si>
    <t xml:space="preserve"> kvar=</t>
  </si>
  <si>
    <t xml:space="preserve"> status=variable</t>
  </si>
  <si>
    <t xml:space="preserve"> vmaxpu=1.5</t>
  </si>
  <si>
    <t xml:space="preserve"> vminpu=0.92</t>
  </si>
  <si>
    <t xml:space="preserve"> "Load.</t>
  </si>
  <si>
    <t xml:space="preserve"> model=2</t>
  </si>
  <si>
    <t>m1_trf_5286699a</t>
  </si>
  <si>
    <t>m1_trf_5286707a</t>
  </si>
  <si>
    <t>m1_trf_5286708a</t>
  </si>
  <si>
    <t>m1_trf_5286718a</t>
  </si>
  <si>
    <t>m1_trf_5286787a</t>
  </si>
  <si>
    <t>m1_trf_5286788a</t>
  </si>
  <si>
    <t>m1_trf_5286789a</t>
  </si>
  <si>
    <t>m1_trf_5286790a</t>
  </si>
  <si>
    <t>m1_trf_5286791a</t>
  </si>
  <si>
    <t>m1_trf_5286792a</t>
  </si>
  <si>
    <t>m1_trf_5286793a</t>
  </si>
  <si>
    <t>m1_trf_5286794a</t>
  </si>
  <si>
    <t>m1_trf_5286795a</t>
  </si>
  <si>
    <t>m1_trf_5286796a</t>
  </si>
  <si>
    <t>m1_trf_5286797a</t>
  </si>
  <si>
    <t>m1_trf_5286798a</t>
  </si>
  <si>
    <t>m1_trf_5286799a</t>
  </si>
  <si>
    <t>m1_trf_5286800a</t>
  </si>
  <si>
    <t>m1_trf_5286801a</t>
  </si>
  <si>
    <t>m1_trf_5286802a</t>
  </si>
  <si>
    <t>m1_trf_5286803a</t>
  </si>
  <si>
    <t>m1_trf_5286804a</t>
  </si>
  <si>
    <t>m1_trf_5286805a</t>
  </si>
  <si>
    <t>m1_trf_5286806a</t>
  </si>
  <si>
    <t>m1_trf_5286807a</t>
  </si>
  <si>
    <t>m1_trf_5286808a</t>
  </si>
  <si>
    <t>m1_trf_5286809a</t>
  </si>
  <si>
    <t>m1_trf_5286810a</t>
  </si>
  <si>
    <t>m1_trf_5286811a</t>
  </si>
  <si>
    <t>m1_trf_5286812a</t>
  </si>
  <si>
    <t>m1_trf_5286813a</t>
  </si>
  <si>
    <t>m1_trf_5286814a</t>
  </si>
  <si>
    <t>m1_trf_5286815a</t>
  </si>
  <si>
    <t>m1_trf_5286816a</t>
  </si>
  <si>
    <t>m1_trf_5286817a</t>
  </si>
  <si>
    <t>m1_trf_5286818a</t>
  </si>
  <si>
    <t>m1_trf_5286819a</t>
  </si>
  <si>
    <t>m1_trf_5286820a</t>
  </si>
  <si>
    <t>m1_trf_5286821a</t>
  </si>
  <si>
    <t>m1_trf_5286828a</t>
  </si>
  <si>
    <t>m1_trf_5286829a</t>
  </si>
  <si>
    <t>m1_trf_5286830a</t>
  </si>
  <si>
    <t>m1_trf_5286831a</t>
  </si>
  <si>
    <t>m1_trf_5286832a</t>
  </si>
  <si>
    <t>m1_trf_5286833a</t>
  </si>
  <si>
    <t>m1_trf_5286834a</t>
  </si>
  <si>
    <t>m1_trf_5286835a</t>
  </si>
  <si>
    <t>m1_trf_5286836a</t>
  </si>
  <si>
    <t>m1_trf_5286837a</t>
  </si>
  <si>
    <t>m1_trf_5286838a</t>
  </si>
  <si>
    <t>m1_trf_5286839a</t>
  </si>
  <si>
    <t>m1_trf_5286840a</t>
  </si>
  <si>
    <t>m1_trf_5286841a</t>
  </si>
  <si>
    <t>m1_trf_5286842a</t>
  </si>
  <si>
    <t>m1_trf_5286843a</t>
  </si>
  <si>
    <t>m1_trf_5286844a</t>
  </si>
  <si>
    <t>m1_trf_5286845a</t>
  </si>
  <si>
    <t>m1_trf_5286846a</t>
  </si>
  <si>
    <t>m1_trf_5286857a</t>
  </si>
  <si>
    <t>m1_trf_5286858a</t>
  </si>
  <si>
    <t>m1_trf_5286860a</t>
  </si>
  <si>
    <t>m1_trf_5286861a</t>
  </si>
  <si>
    <t>m1_trf_5286862a</t>
  </si>
  <si>
    <t>m1_trf_5286863a</t>
  </si>
  <si>
    <t>m1_trf_5286864a</t>
  </si>
  <si>
    <t>m1_trf_5286865a</t>
  </si>
  <si>
    <t>m1_trf_5286866a</t>
  </si>
  <si>
    <t>m1_trf_5286867a</t>
  </si>
  <si>
    <t>m1_trf_5286871a</t>
  </si>
  <si>
    <t>m1_trf_5286872a</t>
  </si>
  <si>
    <t>m1_trf_5286890a</t>
  </si>
  <si>
    <t>m1_trf_5286891a</t>
  </si>
  <si>
    <t>m1_trf_5286914a</t>
  </si>
  <si>
    <t>m1_trf_5286915a</t>
  </si>
  <si>
    <t>m1_trf_5286916a</t>
  </si>
  <si>
    <t>m1_trf_5286917a</t>
  </si>
  <si>
    <t>m1_trf_5286918a</t>
  </si>
  <si>
    <t>m1_trf_5286919a</t>
  </si>
  <si>
    <t>m1_trf_5286930a</t>
  </si>
  <si>
    <t>m1_trf_5286931a</t>
  </si>
  <si>
    <t>m1_trf_5286932a</t>
  </si>
  <si>
    <t>m1_trf_5286933a</t>
  </si>
  <si>
    <t>m1_trf_5286934a</t>
  </si>
  <si>
    <t>m1_trf_5286935a</t>
  </si>
  <si>
    <t>m1_trf_5286936a</t>
  </si>
  <si>
    <t>m1_trf_5286937a</t>
  </si>
  <si>
    <t>m1_trf_5286938a</t>
  </si>
  <si>
    <t>m1_trf_5286939a</t>
  </si>
  <si>
    <t>m1_trf_5286940a</t>
  </si>
  <si>
    <t>m1_trf_5286941a</t>
  </si>
  <si>
    <t>m1_trf_5286942a</t>
  </si>
  <si>
    <t>m1_trf_5286943a</t>
  </si>
  <si>
    <t>m1_trf_5286944a</t>
  </si>
  <si>
    <t>m1_trf_5286945a</t>
  </si>
  <si>
    <t>m1_trf_5286946a</t>
  </si>
  <si>
    <t>m1_trf_5440862a</t>
  </si>
  <si>
    <t>m1_trf_5469845a</t>
  </si>
  <si>
    <t>m1_trf_5470133a</t>
  </si>
  <si>
    <t>m1_trf_5472282a</t>
  </si>
  <si>
    <t>m1_trf_5479360a</t>
  </si>
  <si>
    <t>m1_trf_5491509a</t>
  </si>
  <si>
    <t>m1_trf_5499009a</t>
  </si>
  <si>
    <t>m1_trf_5485359a</t>
  </si>
  <si>
    <t>m1_trf_5502834a</t>
  </si>
  <si>
    <t>m1_trf_5505307a</t>
  </si>
  <si>
    <t>m1_trf_5535535a</t>
  </si>
  <si>
    <t>m1_trf_5537656a</t>
  </si>
  <si>
    <t>m1_trf_5547722a</t>
  </si>
  <si>
    <t>m1_trf_5551754a</t>
  </si>
  <si>
    <t>m1_trf_5552038a</t>
  </si>
  <si>
    <t>m1_trf_5552309a</t>
  </si>
  <si>
    <t>m1_trf_5552553a</t>
  </si>
  <si>
    <t>m1_trf_5552819a</t>
  </si>
  <si>
    <t>m1_trf_5569878a</t>
  </si>
  <si>
    <t>m1_trf_5555964a</t>
  </si>
  <si>
    <t>m1_trf_5557353a</t>
  </si>
  <si>
    <t>m1_trf_5558213a</t>
  </si>
  <si>
    <t>m1_trf_5560489a</t>
  </si>
  <si>
    <t>m1_trf_5574596a</t>
  </si>
  <si>
    <t>m1_trf_5577671a</t>
  </si>
  <si>
    <t>m1_trf_5286947a</t>
  </si>
  <si>
    <t>m1_trf_5286958a</t>
  </si>
  <si>
    <t>m1_trf_5286959a</t>
  </si>
  <si>
    <t>m1_trf_5286960a</t>
  </si>
  <si>
    <t>m1_trf_5286961a</t>
  </si>
  <si>
    <t>m1_trf_5286962a</t>
  </si>
  <si>
    <t>m1_trf_5286963a</t>
  </si>
  <si>
    <t>m1_trf_5286964a</t>
  </si>
  <si>
    <t>m1_trf_5286965a</t>
  </si>
  <si>
    <t>m1_trf_5286966a</t>
  </si>
  <si>
    <t>m1_trf_5286967a</t>
  </si>
  <si>
    <t>m1_trf_5647498a</t>
  </si>
  <si>
    <t>m1_trf_5688575a</t>
  </si>
  <si>
    <t>m1_trf_5675373a</t>
  </si>
  <si>
    <t>m1_trf_5323939a</t>
  </si>
  <si>
    <t>m1_trf_5702287a</t>
  </si>
  <si>
    <t>m1_trf_5713817a</t>
  </si>
  <si>
    <t>m1_trf_5719448a</t>
  </si>
  <si>
    <t>m1_trf_5333902a</t>
  </si>
  <si>
    <t>m1_trf_5740255a</t>
  </si>
  <si>
    <t>m1_trf_5740270a</t>
  </si>
  <si>
    <t>m1_trf_5744153a</t>
  </si>
  <si>
    <t>m1_trf_5444435a</t>
  </si>
  <si>
    <t xml:space="preserve"> daily="CURVA"</t>
  </si>
  <si>
    <t>mt_10009727955_m1</t>
  </si>
  <si>
    <t>mt_10009727955_m2</t>
  </si>
  <si>
    <t>mt_10014416466_m1</t>
  </si>
  <si>
    <t>mt_10014416466_m2</t>
  </si>
  <si>
    <t>mt_10015559007_m1</t>
  </si>
  <si>
    <t>mt_10015559007_m2</t>
  </si>
  <si>
    <t>mt_10020770241_m1</t>
  </si>
  <si>
    <t>mt_10020770241_m2</t>
  </si>
  <si>
    <t>mt_10022767280_m1</t>
  </si>
  <si>
    <t>mt_10022767280_m2</t>
  </si>
  <si>
    <t>mt_10009727955_nt_m1</t>
  </si>
  <si>
    <t>mt_10009727955_nt_m2</t>
  </si>
  <si>
    <t>mt_10014416466_nt_m1</t>
  </si>
  <si>
    <t>mt_10014416466_nt_m2</t>
  </si>
  <si>
    <t>mt_10015559007_nt_m1</t>
  </si>
  <si>
    <t>mt_10015559007_nt_m2</t>
  </si>
  <si>
    <t>mt_10020770241_nt_m1</t>
  </si>
  <si>
    <t>mt_10020770241_nt_m2</t>
  </si>
  <si>
    <t>mt_10022767280_nt_m1</t>
  </si>
  <si>
    <t>mt_10022767280_nt_m2</t>
  </si>
  <si>
    <t xml:space="preserve"> kv=13.8</t>
  </si>
  <si>
    <t xml:space="preserve"> vmaxpu=1.6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</si>
</sst>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0" fontId="3" fillId="0" borderId="0" xfId="0" applyFont="1"/>
    <xf numFmtId="164" fontId="3" fillId="0" borderId="0" xfId="0" applyNumberFormat="1" applyFont="1"/>
    <xf numFmtId="164" fontId="3" fillId="2" borderId="0" xfId="0" applyNumberFormat="1" applyFont="1" applyFill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3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/>
    <xf numFmtId="1" fontId="0" fillId="0" borderId="0" xfId="0" applyNumberFormat="1" applyFill="1" applyAlignment="1">
      <alignment horizontal="center" vertical="center"/>
    </xf>
    <xf numFmtId="0" fontId="6" fillId="0" borderId="0" xfId="0" applyFont="1" applyFill="1"/>
    <xf numFmtId="164" fontId="3" fillId="0" borderId="0" xfId="0" applyNumberFormat="1" applyFont="1" applyFill="1"/>
    <xf numFmtId="1" fontId="3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7"/>
  <sheetViews>
    <sheetView tabSelected="1" workbookViewId="0">
      <pane ySplit="1" topLeftCell="A2" activePane="bottomLeft" state="frozen"/>
      <selection pane="bottomLeft" activeCell="F307" sqref="F2:F307"/>
    </sheetView>
  </sheetViews>
  <sheetFormatPr defaultRowHeight="15" x14ac:dyDescent="0.25"/>
  <cols>
    <col min="1" max="1" width="22.42578125" bestFit="1" customWidth="1"/>
    <col min="2" max="3" width="12" bestFit="1" customWidth="1"/>
    <col min="4" max="4" width="18.7109375" style="11" bestFit="1" customWidth="1"/>
    <col min="6" max="6" width="13.7109375" style="7" customWidth="1"/>
    <col min="7" max="8" width="9.140625" customWidth="1"/>
    <col min="9" max="9" width="9.140625" style="4" customWidth="1"/>
    <col min="10" max="11" width="9.140625" customWidth="1"/>
    <col min="12" max="12" width="15.140625" style="13" bestFit="1" customWidth="1"/>
    <col min="13" max="18" width="9.140625" customWidth="1"/>
    <col min="19" max="19" width="15.7109375" style="4" customWidth="1"/>
    <col min="20" max="20" width="9.140625" customWidth="1"/>
    <col min="21" max="21" width="14.7109375" style="4" customWidth="1"/>
    <col min="22" max="24" width="9.140625" customWidth="1"/>
    <col min="25" max="25" width="12.7109375" bestFit="1" customWidth="1"/>
  </cols>
  <sheetData>
    <row r="1" spans="1:25" x14ac:dyDescent="0.25">
      <c r="A1" s="1" t="s">
        <v>0</v>
      </c>
      <c r="B1" s="2" t="s">
        <v>288</v>
      </c>
      <c r="C1" s="2" t="s">
        <v>289</v>
      </c>
      <c r="D1" s="10" t="s">
        <v>144</v>
      </c>
    </row>
    <row r="2" spans="1:25" x14ac:dyDescent="0.25">
      <c r="A2" t="s">
        <v>1</v>
      </c>
      <c r="B2">
        <v>0.26882937398617601</v>
      </c>
      <c r="C2">
        <v>0.12947869629823899</v>
      </c>
      <c r="D2" s="11" t="s">
        <v>145</v>
      </c>
      <c r="F2" s="8" t="str">
        <f>_xlfn.CONCAT(G2:Y2)</f>
        <v>New "Load.m2_trf_5286699a" bus1="82034475286699.1.2.3.4" phases=3 conn=Wye model=3 kv=0.380 kw=0,268829373986176 kvar=0,129478696298239 daily="CURVA" status=variable vmaxpu=1.5 vminpu=0.92</v>
      </c>
      <c r="G2" t="s">
        <v>290</v>
      </c>
      <c r="H2" t="s">
        <v>303</v>
      </c>
      <c r="I2" s="5" t="str">
        <f>A2</f>
        <v>m2_trf_5286699a</v>
      </c>
      <c r="J2" t="s">
        <v>291</v>
      </c>
      <c r="K2" t="s">
        <v>292</v>
      </c>
      <c r="L2" s="13" t="str">
        <f>D2</f>
        <v>82034475286699</v>
      </c>
      <c r="M2" t="s">
        <v>293</v>
      </c>
      <c r="N2" t="s">
        <v>294</v>
      </c>
      <c r="O2" t="s">
        <v>295</v>
      </c>
      <c r="P2" t="s">
        <v>296</v>
      </c>
      <c r="Q2" t="s">
        <v>297</v>
      </c>
      <c r="R2" t="s">
        <v>298</v>
      </c>
      <c r="S2" s="5">
        <f>B2</f>
        <v>0.26882937398617601</v>
      </c>
      <c r="T2" t="s">
        <v>299</v>
      </c>
      <c r="U2" s="5">
        <f>C2</f>
        <v>0.12947869629823899</v>
      </c>
      <c r="V2" t="s">
        <v>448</v>
      </c>
      <c r="W2" t="s">
        <v>300</v>
      </c>
      <c r="X2" t="s">
        <v>301</v>
      </c>
      <c r="Y2" t="s">
        <v>302</v>
      </c>
    </row>
    <row r="3" spans="1:25" x14ac:dyDescent="0.25">
      <c r="A3" t="s">
        <v>2</v>
      </c>
      <c r="B3">
        <v>13.2972889285625</v>
      </c>
      <c r="C3">
        <v>6.4118971886900002</v>
      </c>
      <c r="D3" s="11" t="s">
        <v>146</v>
      </c>
      <c r="F3" s="8" t="str">
        <f t="shared" ref="F3:F66" si="0">_xlfn.CONCAT(G3:Y3)</f>
        <v>New "Load.m2_trf_5286707a" bus1="82034835286707.1.2.3.4" phases=3 conn=Wye model=3 kv=0.380 kw=13,2972889285625 kvar=6,41189718869 daily="CURVA" status=variable vmaxpu=1.5 vminpu=0.92</v>
      </c>
      <c r="G3" t="s">
        <v>290</v>
      </c>
      <c r="H3" t="s">
        <v>303</v>
      </c>
      <c r="I3" s="5" t="str">
        <f t="shared" ref="I3:I66" si="1">A3</f>
        <v>m2_trf_5286707a</v>
      </c>
      <c r="J3" t="s">
        <v>291</v>
      </c>
      <c r="K3" t="s">
        <v>292</v>
      </c>
      <c r="L3" s="13" t="str">
        <f t="shared" ref="L3:L66" si="2">D3</f>
        <v>82034835286707</v>
      </c>
      <c r="M3" t="s">
        <v>293</v>
      </c>
      <c r="N3" t="s">
        <v>294</v>
      </c>
      <c r="O3" t="s">
        <v>295</v>
      </c>
      <c r="P3" t="s">
        <v>296</v>
      </c>
      <c r="Q3" t="s">
        <v>297</v>
      </c>
      <c r="R3" t="s">
        <v>298</v>
      </c>
      <c r="S3" s="5">
        <f t="shared" ref="S3:S66" si="3">B3</f>
        <v>13.2972889285625</v>
      </c>
      <c r="T3" t="s">
        <v>299</v>
      </c>
      <c r="U3" s="5">
        <f t="shared" ref="U3:U66" si="4">C3</f>
        <v>6.4118971886900002</v>
      </c>
      <c r="V3" t="s">
        <v>448</v>
      </c>
      <c r="W3" t="s">
        <v>300</v>
      </c>
      <c r="X3" t="s">
        <v>301</v>
      </c>
      <c r="Y3" t="s">
        <v>302</v>
      </c>
    </row>
    <row r="4" spans="1:25" x14ac:dyDescent="0.25">
      <c r="A4" t="s">
        <v>3</v>
      </c>
      <c r="B4">
        <v>1.1683607006336501</v>
      </c>
      <c r="C4">
        <v>0.56933453622498498</v>
      </c>
      <c r="D4" s="11" t="s">
        <v>147</v>
      </c>
      <c r="F4" s="8" t="str">
        <f t="shared" si="0"/>
        <v>New "Load.m2_trf_5286708a" bus1="82034845286708.1.2.3.4" phases=3 conn=Wye model=3 kv=0.380 kw=1,16836070063365 kvar=0,569334536224985 daily="CURVA" status=variable vmaxpu=1.5 vminpu=0.92</v>
      </c>
      <c r="G4" t="s">
        <v>290</v>
      </c>
      <c r="H4" t="s">
        <v>303</v>
      </c>
      <c r="I4" s="5" t="str">
        <f t="shared" si="1"/>
        <v>m2_trf_5286708a</v>
      </c>
      <c r="J4" t="s">
        <v>291</v>
      </c>
      <c r="K4" t="s">
        <v>292</v>
      </c>
      <c r="L4" s="13" t="str">
        <f t="shared" si="2"/>
        <v>82034845286708</v>
      </c>
      <c r="M4" t="s">
        <v>293</v>
      </c>
      <c r="N4" t="s">
        <v>294</v>
      </c>
      <c r="O4" t="s">
        <v>295</v>
      </c>
      <c r="P4" t="s">
        <v>296</v>
      </c>
      <c r="Q4" t="s">
        <v>297</v>
      </c>
      <c r="R4" t="s">
        <v>298</v>
      </c>
      <c r="S4" s="5">
        <f t="shared" si="3"/>
        <v>1.1683607006336501</v>
      </c>
      <c r="T4" t="s">
        <v>299</v>
      </c>
      <c r="U4" s="5">
        <f t="shared" si="4"/>
        <v>0.56933453622498498</v>
      </c>
      <c r="V4" t="s">
        <v>448</v>
      </c>
      <c r="W4" t="s">
        <v>300</v>
      </c>
      <c r="X4" t="s">
        <v>301</v>
      </c>
      <c r="Y4" t="s">
        <v>302</v>
      </c>
    </row>
    <row r="5" spans="1:25" x14ac:dyDescent="0.25">
      <c r="A5" t="s">
        <v>4</v>
      </c>
      <c r="B5">
        <v>2.2912988704374699</v>
      </c>
      <c r="C5">
        <v>1.06907255061507</v>
      </c>
      <c r="D5" s="11" t="s">
        <v>148</v>
      </c>
      <c r="F5" s="8" t="str">
        <f t="shared" si="0"/>
        <v>New "Load.m2_trf_5286718a" bus1="82053655286718.1.2.3.4" phases=3 conn=Wye model=3 kv=0.380 kw=2,29129887043747 kvar=1,06907255061507 daily="CURVA" status=variable vmaxpu=1.5 vminpu=0.92</v>
      </c>
      <c r="G5" t="s">
        <v>290</v>
      </c>
      <c r="H5" t="s">
        <v>303</v>
      </c>
      <c r="I5" s="5" t="str">
        <f t="shared" si="1"/>
        <v>m2_trf_5286718a</v>
      </c>
      <c r="J5" t="s">
        <v>291</v>
      </c>
      <c r="K5" t="s">
        <v>292</v>
      </c>
      <c r="L5" s="13" t="str">
        <f t="shared" si="2"/>
        <v>82053655286718</v>
      </c>
      <c r="M5" t="s">
        <v>293</v>
      </c>
      <c r="N5" t="s">
        <v>294</v>
      </c>
      <c r="O5" t="s">
        <v>295</v>
      </c>
      <c r="P5" t="s">
        <v>296</v>
      </c>
      <c r="Q5" t="s">
        <v>297</v>
      </c>
      <c r="R5" t="s">
        <v>298</v>
      </c>
      <c r="S5" s="5">
        <f t="shared" si="3"/>
        <v>2.2912988704374699</v>
      </c>
      <c r="T5" t="s">
        <v>299</v>
      </c>
      <c r="U5" s="5">
        <f t="shared" si="4"/>
        <v>1.06907255061507</v>
      </c>
      <c r="V5" t="s">
        <v>448</v>
      </c>
      <c r="W5" t="s">
        <v>300</v>
      </c>
      <c r="X5" t="s">
        <v>301</v>
      </c>
      <c r="Y5" t="s">
        <v>302</v>
      </c>
    </row>
    <row r="6" spans="1:25" x14ac:dyDescent="0.25">
      <c r="A6" t="s">
        <v>5</v>
      </c>
      <c r="B6">
        <v>29.717121979540298</v>
      </c>
      <c r="C6">
        <v>13.8571470140063</v>
      </c>
      <c r="D6" s="11" t="s">
        <v>149</v>
      </c>
      <c r="F6" s="8" t="str">
        <f t="shared" si="0"/>
        <v>New "Load.m2_trf_5286787a" bus1="82023305286787.1.2.3.4" phases=3 conn=Wye model=3 kv=0.380 kw=29,7171219795403 kvar=13,8571470140063 daily="CURVA" status=variable vmaxpu=1.5 vminpu=0.92</v>
      </c>
      <c r="G6" t="s">
        <v>290</v>
      </c>
      <c r="H6" t="s">
        <v>303</v>
      </c>
      <c r="I6" s="5" t="str">
        <f t="shared" si="1"/>
        <v>m2_trf_5286787a</v>
      </c>
      <c r="J6" t="s">
        <v>291</v>
      </c>
      <c r="K6" t="s">
        <v>292</v>
      </c>
      <c r="L6" s="13" t="str">
        <f t="shared" si="2"/>
        <v>82023305286787</v>
      </c>
      <c r="M6" t="s">
        <v>293</v>
      </c>
      <c r="N6" t="s">
        <v>294</v>
      </c>
      <c r="O6" t="s">
        <v>295</v>
      </c>
      <c r="P6" t="s">
        <v>296</v>
      </c>
      <c r="Q6" t="s">
        <v>297</v>
      </c>
      <c r="R6" t="s">
        <v>298</v>
      </c>
      <c r="S6" s="5">
        <f t="shared" si="3"/>
        <v>29.717121979540298</v>
      </c>
      <c r="T6" t="s">
        <v>299</v>
      </c>
      <c r="U6" s="5">
        <f t="shared" si="4"/>
        <v>13.8571470140063</v>
      </c>
      <c r="V6" t="s">
        <v>448</v>
      </c>
      <c r="W6" t="s">
        <v>300</v>
      </c>
      <c r="X6" t="s">
        <v>301</v>
      </c>
      <c r="Y6" t="s">
        <v>302</v>
      </c>
    </row>
    <row r="7" spans="1:25" x14ac:dyDescent="0.25">
      <c r="A7" t="s">
        <v>6</v>
      </c>
      <c r="B7">
        <v>48.935203025811603</v>
      </c>
      <c r="C7">
        <v>22.375383851296199</v>
      </c>
      <c r="D7" s="11" t="s">
        <v>150</v>
      </c>
      <c r="F7" s="8" t="str">
        <f t="shared" si="0"/>
        <v>New "Load.m2_trf_5286788a" bus1="82023395286788.1.2.3.4" phases=3 conn=Wye model=3 kv=0.380 kw=48,9352030258116 kvar=22,3753838512962 daily="CURVA" status=variable vmaxpu=1.5 vminpu=0.92</v>
      </c>
      <c r="G7" t="s">
        <v>290</v>
      </c>
      <c r="H7" t="s">
        <v>303</v>
      </c>
      <c r="I7" s="5" t="str">
        <f t="shared" si="1"/>
        <v>m2_trf_5286788a</v>
      </c>
      <c r="J7" t="s">
        <v>291</v>
      </c>
      <c r="K7" t="s">
        <v>292</v>
      </c>
      <c r="L7" s="13" t="str">
        <f t="shared" si="2"/>
        <v>82023395286788</v>
      </c>
      <c r="M7" t="s">
        <v>293</v>
      </c>
      <c r="N7" t="s">
        <v>294</v>
      </c>
      <c r="O7" t="s">
        <v>295</v>
      </c>
      <c r="P7" t="s">
        <v>296</v>
      </c>
      <c r="Q7" t="s">
        <v>297</v>
      </c>
      <c r="R7" t="s">
        <v>298</v>
      </c>
      <c r="S7" s="5">
        <f t="shared" si="3"/>
        <v>48.935203025811603</v>
      </c>
      <c r="T7" t="s">
        <v>299</v>
      </c>
      <c r="U7" s="5">
        <f t="shared" si="4"/>
        <v>22.375383851296199</v>
      </c>
      <c r="V7" t="s">
        <v>448</v>
      </c>
      <c r="W7" t="s">
        <v>300</v>
      </c>
      <c r="X7" t="s">
        <v>301</v>
      </c>
      <c r="Y7" t="s">
        <v>302</v>
      </c>
    </row>
    <row r="8" spans="1:25" x14ac:dyDescent="0.25">
      <c r="A8" t="s">
        <v>7</v>
      </c>
      <c r="B8">
        <v>19.498783732393299</v>
      </c>
      <c r="C8">
        <v>9.0651789386325099</v>
      </c>
      <c r="D8" s="11" t="s">
        <v>151</v>
      </c>
      <c r="F8" s="8" t="str">
        <f t="shared" si="0"/>
        <v>New "Load.m2_trf_5286789a" bus1="82022295286789.1.2.3.4" phases=3 conn=Wye model=3 kv=0.380 kw=19,4987837323933 kvar=9,06517893863251 daily="CURVA" status=variable vmaxpu=1.5 vminpu=0.92</v>
      </c>
      <c r="G8" t="s">
        <v>290</v>
      </c>
      <c r="H8" t="s">
        <v>303</v>
      </c>
      <c r="I8" s="5" t="str">
        <f t="shared" si="1"/>
        <v>m2_trf_5286789a</v>
      </c>
      <c r="J8" t="s">
        <v>291</v>
      </c>
      <c r="K8" t="s">
        <v>292</v>
      </c>
      <c r="L8" s="13" t="str">
        <f t="shared" si="2"/>
        <v>82022295286789</v>
      </c>
      <c r="M8" t="s">
        <v>293</v>
      </c>
      <c r="N8" t="s">
        <v>294</v>
      </c>
      <c r="O8" t="s">
        <v>295</v>
      </c>
      <c r="P8" t="s">
        <v>296</v>
      </c>
      <c r="Q8" t="s">
        <v>297</v>
      </c>
      <c r="R8" t="s">
        <v>298</v>
      </c>
      <c r="S8" s="5">
        <f t="shared" si="3"/>
        <v>19.498783732393299</v>
      </c>
      <c r="T8" t="s">
        <v>299</v>
      </c>
      <c r="U8" s="5">
        <f t="shared" si="4"/>
        <v>9.0651789386325099</v>
      </c>
      <c r="V8" t="s">
        <v>448</v>
      </c>
      <c r="W8" t="s">
        <v>300</v>
      </c>
      <c r="X8" t="s">
        <v>301</v>
      </c>
      <c r="Y8" t="s">
        <v>302</v>
      </c>
    </row>
    <row r="9" spans="1:25" x14ac:dyDescent="0.25">
      <c r="A9" t="s">
        <v>8</v>
      </c>
      <c r="B9">
        <v>30.9748502224353</v>
      </c>
      <c r="C9">
        <v>14.5231031895442</v>
      </c>
      <c r="D9" s="11" t="s">
        <v>152</v>
      </c>
      <c r="F9" s="8" t="str">
        <f t="shared" si="0"/>
        <v>New "Load.m2_trf_5286790a" bus1="82022455286790.1.2.3.4" phases=3 conn=Wye model=3 kv=0.380 kw=30,9748502224353 kvar=14,5231031895442 daily="CURVA" status=variable vmaxpu=1.5 vminpu=0.92</v>
      </c>
      <c r="G9" t="s">
        <v>290</v>
      </c>
      <c r="H9" t="s">
        <v>303</v>
      </c>
      <c r="I9" s="5" t="str">
        <f t="shared" si="1"/>
        <v>m2_trf_5286790a</v>
      </c>
      <c r="J9" t="s">
        <v>291</v>
      </c>
      <c r="K9" t="s">
        <v>292</v>
      </c>
      <c r="L9" s="13" t="str">
        <f t="shared" si="2"/>
        <v>82022455286790</v>
      </c>
      <c r="M9" t="s">
        <v>293</v>
      </c>
      <c r="N9" t="s">
        <v>294</v>
      </c>
      <c r="O9" t="s">
        <v>295</v>
      </c>
      <c r="P9" t="s">
        <v>296</v>
      </c>
      <c r="Q9" t="s">
        <v>297</v>
      </c>
      <c r="R9" t="s">
        <v>298</v>
      </c>
      <c r="S9" s="5">
        <f t="shared" si="3"/>
        <v>30.9748502224353</v>
      </c>
      <c r="T9" t="s">
        <v>299</v>
      </c>
      <c r="U9" s="5">
        <f t="shared" si="4"/>
        <v>14.5231031895442</v>
      </c>
      <c r="V9" t="s">
        <v>448</v>
      </c>
      <c r="W9" t="s">
        <v>300</v>
      </c>
      <c r="X9" t="s">
        <v>301</v>
      </c>
      <c r="Y9" t="s">
        <v>302</v>
      </c>
    </row>
    <row r="10" spans="1:25" x14ac:dyDescent="0.25">
      <c r="A10" t="s">
        <v>9</v>
      </c>
      <c r="B10">
        <v>35.788287446147699</v>
      </c>
      <c r="C10">
        <v>16.648535216187</v>
      </c>
      <c r="D10" s="11" t="s">
        <v>153</v>
      </c>
      <c r="F10" s="8" t="str">
        <f t="shared" si="0"/>
        <v>New "Load.m2_trf_5286791a" bus1="82022605286791.1.2.3.4" phases=3 conn=Wye model=3 kv=0.380 kw=35,7882874461477 kvar=16,648535216187 daily="CURVA" status=variable vmaxpu=1.5 vminpu=0.92</v>
      </c>
      <c r="G10" t="s">
        <v>290</v>
      </c>
      <c r="H10" t="s">
        <v>303</v>
      </c>
      <c r="I10" s="5" t="str">
        <f t="shared" si="1"/>
        <v>m2_trf_5286791a</v>
      </c>
      <c r="J10" t="s">
        <v>291</v>
      </c>
      <c r="K10" t="s">
        <v>292</v>
      </c>
      <c r="L10" s="13" t="str">
        <f t="shared" si="2"/>
        <v>82022605286791</v>
      </c>
      <c r="M10" t="s">
        <v>293</v>
      </c>
      <c r="N10" t="s">
        <v>294</v>
      </c>
      <c r="O10" t="s">
        <v>295</v>
      </c>
      <c r="P10" t="s">
        <v>296</v>
      </c>
      <c r="Q10" t="s">
        <v>297</v>
      </c>
      <c r="R10" t="s">
        <v>298</v>
      </c>
      <c r="S10" s="5">
        <f t="shared" si="3"/>
        <v>35.788287446147699</v>
      </c>
      <c r="T10" t="s">
        <v>299</v>
      </c>
      <c r="U10" s="5">
        <f t="shared" si="4"/>
        <v>16.648535216187</v>
      </c>
      <c r="V10" t="s">
        <v>448</v>
      </c>
      <c r="W10" t="s">
        <v>300</v>
      </c>
      <c r="X10" t="s">
        <v>301</v>
      </c>
      <c r="Y10" t="s">
        <v>302</v>
      </c>
    </row>
    <row r="11" spans="1:25" x14ac:dyDescent="0.25">
      <c r="A11" t="s">
        <v>10</v>
      </c>
      <c r="B11">
        <v>29.588767276048401</v>
      </c>
      <c r="C11">
        <v>13.718117476390599</v>
      </c>
      <c r="D11" s="11" t="s">
        <v>154</v>
      </c>
      <c r="F11" s="8" t="str">
        <f t="shared" si="0"/>
        <v>New "Load.m2_trf_5286792a" bus1="82019965286792.1.2.3.4" phases=3 conn=Wye model=3 kv=0.380 kw=29,5887672760484 kvar=13,7181174763906 daily="CURVA" status=variable vmaxpu=1.5 vminpu=0.92</v>
      </c>
      <c r="G11" t="s">
        <v>290</v>
      </c>
      <c r="H11" t="s">
        <v>303</v>
      </c>
      <c r="I11" s="5" t="str">
        <f t="shared" si="1"/>
        <v>m2_trf_5286792a</v>
      </c>
      <c r="J11" t="s">
        <v>291</v>
      </c>
      <c r="K11" t="s">
        <v>292</v>
      </c>
      <c r="L11" s="13" t="str">
        <f t="shared" si="2"/>
        <v>82019965286792</v>
      </c>
      <c r="M11" t="s">
        <v>293</v>
      </c>
      <c r="N11" t="s">
        <v>294</v>
      </c>
      <c r="O11" t="s">
        <v>295</v>
      </c>
      <c r="P11" t="s">
        <v>296</v>
      </c>
      <c r="Q11" t="s">
        <v>297</v>
      </c>
      <c r="R11" t="s">
        <v>298</v>
      </c>
      <c r="S11" s="5">
        <f t="shared" si="3"/>
        <v>29.588767276048401</v>
      </c>
      <c r="T11" t="s">
        <v>299</v>
      </c>
      <c r="U11" s="5">
        <f t="shared" si="4"/>
        <v>13.718117476390599</v>
      </c>
      <c r="V11" t="s">
        <v>448</v>
      </c>
      <c r="W11" t="s">
        <v>300</v>
      </c>
      <c r="X11" t="s">
        <v>301</v>
      </c>
      <c r="Y11" t="s">
        <v>302</v>
      </c>
    </row>
    <row r="12" spans="1:25" x14ac:dyDescent="0.25">
      <c r="A12" t="s">
        <v>11</v>
      </c>
      <c r="B12">
        <v>17.9938955943474</v>
      </c>
      <c r="C12">
        <v>8.3591206269732492</v>
      </c>
      <c r="D12" s="11" t="s">
        <v>155</v>
      </c>
      <c r="F12" s="8" t="str">
        <f t="shared" si="0"/>
        <v>New "Load.m2_trf_5286793a" bus1="82020055286793.1.2.3.4" phases=3 conn=Wye model=3 kv=0.380 kw=17,9938955943474 kvar=8,35912062697325 daily="CURVA" status=variable vmaxpu=1.5 vminpu=0.92</v>
      </c>
      <c r="G12" t="s">
        <v>290</v>
      </c>
      <c r="H12" t="s">
        <v>303</v>
      </c>
      <c r="I12" s="5" t="str">
        <f t="shared" si="1"/>
        <v>m2_trf_5286793a</v>
      </c>
      <c r="J12" t="s">
        <v>291</v>
      </c>
      <c r="K12" t="s">
        <v>292</v>
      </c>
      <c r="L12" s="13" t="str">
        <f t="shared" si="2"/>
        <v>82020055286793</v>
      </c>
      <c r="M12" t="s">
        <v>293</v>
      </c>
      <c r="N12" t="s">
        <v>294</v>
      </c>
      <c r="O12" t="s">
        <v>295</v>
      </c>
      <c r="P12" t="s">
        <v>296</v>
      </c>
      <c r="Q12" t="s">
        <v>297</v>
      </c>
      <c r="R12" t="s">
        <v>298</v>
      </c>
      <c r="S12" s="5">
        <f t="shared" si="3"/>
        <v>17.9938955943474</v>
      </c>
      <c r="T12" t="s">
        <v>299</v>
      </c>
      <c r="U12" s="5">
        <f t="shared" si="4"/>
        <v>8.3591206269732492</v>
      </c>
      <c r="V12" t="s">
        <v>448</v>
      </c>
      <c r="W12" t="s">
        <v>300</v>
      </c>
      <c r="X12" t="s">
        <v>301</v>
      </c>
      <c r="Y12" t="s">
        <v>302</v>
      </c>
    </row>
    <row r="13" spans="1:25" x14ac:dyDescent="0.25">
      <c r="A13" t="s">
        <v>12</v>
      </c>
      <c r="B13">
        <v>43.822833965232697</v>
      </c>
      <c r="C13">
        <v>20.3731833181143</v>
      </c>
      <c r="D13" s="11" t="s">
        <v>156</v>
      </c>
      <c r="F13" s="8" t="str">
        <f t="shared" si="0"/>
        <v>New "Load.m2_trf_5286794a" bus1="82020175286794.1.2.3.4" phases=3 conn=Wye model=3 kv=0.380 kw=43,8228339652327 kvar=20,3731833181143 daily="CURVA" status=variable vmaxpu=1.5 vminpu=0.92</v>
      </c>
      <c r="G13" t="s">
        <v>290</v>
      </c>
      <c r="H13" t="s">
        <v>303</v>
      </c>
      <c r="I13" s="5" t="str">
        <f t="shared" si="1"/>
        <v>m2_trf_5286794a</v>
      </c>
      <c r="J13" t="s">
        <v>291</v>
      </c>
      <c r="K13" t="s">
        <v>292</v>
      </c>
      <c r="L13" s="13" t="str">
        <f t="shared" si="2"/>
        <v>82020175286794</v>
      </c>
      <c r="M13" t="s">
        <v>293</v>
      </c>
      <c r="N13" t="s">
        <v>294</v>
      </c>
      <c r="O13" t="s">
        <v>295</v>
      </c>
      <c r="P13" t="s">
        <v>296</v>
      </c>
      <c r="Q13" t="s">
        <v>297</v>
      </c>
      <c r="R13" t="s">
        <v>298</v>
      </c>
      <c r="S13" s="5">
        <f t="shared" si="3"/>
        <v>43.822833965232697</v>
      </c>
      <c r="T13" t="s">
        <v>299</v>
      </c>
      <c r="U13" s="5">
        <f t="shared" si="4"/>
        <v>20.3731833181143</v>
      </c>
      <c r="V13" t="s">
        <v>448</v>
      </c>
      <c r="W13" t="s">
        <v>300</v>
      </c>
      <c r="X13" t="s">
        <v>301</v>
      </c>
      <c r="Y13" t="s">
        <v>302</v>
      </c>
    </row>
    <row r="14" spans="1:25" x14ac:dyDescent="0.25">
      <c r="A14" t="s">
        <v>13</v>
      </c>
      <c r="B14">
        <v>31.396805649870402</v>
      </c>
      <c r="C14">
        <v>14.669740209409101</v>
      </c>
      <c r="D14" s="11" t="s">
        <v>157</v>
      </c>
      <c r="F14" s="8" t="str">
        <f t="shared" si="0"/>
        <v>New "Load.m2_trf_5286795a" bus1="82020405286795.1.2.3.4" phases=3 conn=Wye model=3 kv=0.380 kw=31,3968056498704 kvar=14,6697402094091 daily="CURVA" status=variable vmaxpu=1.5 vminpu=0.92</v>
      </c>
      <c r="G14" t="s">
        <v>290</v>
      </c>
      <c r="H14" t="s">
        <v>303</v>
      </c>
      <c r="I14" s="5" t="str">
        <f t="shared" si="1"/>
        <v>m2_trf_5286795a</v>
      </c>
      <c r="J14" t="s">
        <v>291</v>
      </c>
      <c r="K14" t="s">
        <v>292</v>
      </c>
      <c r="L14" s="13" t="str">
        <f t="shared" si="2"/>
        <v>82020405286795</v>
      </c>
      <c r="M14" t="s">
        <v>293</v>
      </c>
      <c r="N14" t="s">
        <v>294</v>
      </c>
      <c r="O14" t="s">
        <v>295</v>
      </c>
      <c r="P14" t="s">
        <v>296</v>
      </c>
      <c r="Q14" t="s">
        <v>297</v>
      </c>
      <c r="R14" t="s">
        <v>298</v>
      </c>
      <c r="S14" s="5">
        <f t="shared" si="3"/>
        <v>31.396805649870402</v>
      </c>
      <c r="T14" t="s">
        <v>299</v>
      </c>
      <c r="U14" s="5">
        <f t="shared" si="4"/>
        <v>14.669740209409101</v>
      </c>
      <c r="V14" t="s">
        <v>448</v>
      </c>
      <c r="W14" t="s">
        <v>300</v>
      </c>
      <c r="X14" t="s">
        <v>301</v>
      </c>
      <c r="Y14" t="s">
        <v>302</v>
      </c>
    </row>
    <row r="15" spans="1:25" x14ac:dyDescent="0.25">
      <c r="A15" t="s">
        <v>14</v>
      </c>
      <c r="B15">
        <v>24.187627237954398</v>
      </c>
      <c r="C15">
        <v>11.2482317348406</v>
      </c>
      <c r="D15" s="11" t="s">
        <v>158</v>
      </c>
      <c r="F15" s="8" t="str">
        <f t="shared" si="0"/>
        <v>New "Load.m2_trf_5286796a" bus1="82020555286796.1.2.3.4" phases=3 conn=Wye model=3 kv=0.380 kw=24,1876272379544 kvar=11,2482317348406 daily="CURVA" status=variable vmaxpu=1.5 vminpu=0.92</v>
      </c>
      <c r="G15" t="s">
        <v>290</v>
      </c>
      <c r="H15" t="s">
        <v>303</v>
      </c>
      <c r="I15" s="5" t="str">
        <f t="shared" si="1"/>
        <v>m2_trf_5286796a</v>
      </c>
      <c r="J15" t="s">
        <v>291</v>
      </c>
      <c r="K15" t="s">
        <v>292</v>
      </c>
      <c r="L15" s="13" t="str">
        <f t="shared" si="2"/>
        <v>82020555286796</v>
      </c>
      <c r="M15" t="s">
        <v>293</v>
      </c>
      <c r="N15" t="s">
        <v>294</v>
      </c>
      <c r="O15" t="s">
        <v>295</v>
      </c>
      <c r="P15" t="s">
        <v>296</v>
      </c>
      <c r="Q15" t="s">
        <v>297</v>
      </c>
      <c r="R15" t="s">
        <v>298</v>
      </c>
      <c r="S15" s="5">
        <f t="shared" si="3"/>
        <v>24.187627237954398</v>
      </c>
      <c r="T15" t="s">
        <v>299</v>
      </c>
      <c r="U15" s="5">
        <f t="shared" si="4"/>
        <v>11.2482317348406</v>
      </c>
      <c r="V15" t="s">
        <v>448</v>
      </c>
      <c r="W15" t="s">
        <v>300</v>
      </c>
      <c r="X15" t="s">
        <v>301</v>
      </c>
      <c r="Y15" t="s">
        <v>302</v>
      </c>
    </row>
    <row r="16" spans="1:25" x14ac:dyDescent="0.25">
      <c r="A16" t="s">
        <v>15</v>
      </c>
      <c r="B16">
        <v>15.5028314580108</v>
      </c>
      <c r="C16">
        <v>7.2386012824434802</v>
      </c>
      <c r="D16" s="11" t="s">
        <v>159</v>
      </c>
      <c r="F16" s="8" t="str">
        <f t="shared" si="0"/>
        <v>New "Load.m2_trf_5286797a" bus1="82020675286797.1.2.3.4" phases=3 conn=Wye model=3 kv=0.380 kw=15,5028314580108 kvar=7,23860128244348 daily="CURVA" status=variable vmaxpu=1.5 vminpu=0.92</v>
      </c>
      <c r="G16" t="s">
        <v>290</v>
      </c>
      <c r="H16" t="s">
        <v>303</v>
      </c>
      <c r="I16" s="5" t="str">
        <f t="shared" si="1"/>
        <v>m2_trf_5286797a</v>
      </c>
      <c r="J16" t="s">
        <v>291</v>
      </c>
      <c r="K16" t="s">
        <v>292</v>
      </c>
      <c r="L16" s="13" t="str">
        <f t="shared" si="2"/>
        <v>82020675286797</v>
      </c>
      <c r="M16" t="s">
        <v>293</v>
      </c>
      <c r="N16" t="s">
        <v>294</v>
      </c>
      <c r="O16" t="s">
        <v>295</v>
      </c>
      <c r="P16" t="s">
        <v>296</v>
      </c>
      <c r="Q16" t="s">
        <v>297</v>
      </c>
      <c r="R16" t="s">
        <v>298</v>
      </c>
      <c r="S16" s="5">
        <f t="shared" si="3"/>
        <v>15.5028314580108</v>
      </c>
      <c r="T16" t="s">
        <v>299</v>
      </c>
      <c r="U16" s="5">
        <f t="shared" si="4"/>
        <v>7.2386012824434802</v>
      </c>
      <c r="V16" t="s">
        <v>448</v>
      </c>
      <c r="W16" t="s">
        <v>300</v>
      </c>
      <c r="X16" t="s">
        <v>301</v>
      </c>
      <c r="Y16" t="s">
        <v>302</v>
      </c>
    </row>
    <row r="17" spans="1:25" x14ac:dyDescent="0.25">
      <c r="A17" t="s">
        <v>16</v>
      </c>
      <c r="B17">
        <v>18.1585706907148</v>
      </c>
      <c r="C17">
        <v>8.4453153308075795</v>
      </c>
      <c r="D17" s="11" t="s">
        <v>160</v>
      </c>
      <c r="F17" s="8" t="str">
        <f t="shared" si="0"/>
        <v>New "Load.m2_trf_5286798a" bus1="82021885286798.1.2.3.4" phases=3 conn=Wye model=3 kv=0.380 kw=18,1585706907148 kvar=8,44531533080758 daily="CURVA" status=variable vmaxpu=1.5 vminpu=0.92</v>
      </c>
      <c r="G17" t="s">
        <v>290</v>
      </c>
      <c r="H17" t="s">
        <v>303</v>
      </c>
      <c r="I17" s="5" t="str">
        <f t="shared" si="1"/>
        <v>m2_trf_5286798a</v>
      </c>
      <c r="J17" t="s">
        <v>291</v>
      </c>
      <c r="K17" t="s">
        <v>292</v>
      </c>
      <c r="L17" s="13" t="str">
        <f t="shared" si="2"/>
        <v>82021885286798</v>
      </c>
      <c r="M17" t="s">
        <v>293</v>
      </c>
      <c r="N17" t="s">
        <v>294</v>
      </c>
      <c r="O17" t="s">
        <v>295</v>
      </c>
      <c r="P17" t="s">
        <v>296</v>
      </c>
      <c r="Q17" t="s">
        <v>297</v>
      </c>
      <c r="R17" t="s">
        <v>298</v>
      </c>
      <c r="S17" s="5">
        <f t="shared" si="3"/>
        <v>18.1585706907148</v>
      </c>
      <c r="T17" t="s">
        <v>299</v>
      </c>
      <c r="U17" s="5">
        <f t="shared" si="4"/>
        <v>8.4453153308075795</v>
      </c>
      <c r="V17" t="s">
        <v>448</v>
      </c>
      <c r="W17" t="s">
        <v>300</v>
      </c>
      <c r="X17" t="s">
        <v>301</v>
      </c>
      <c r="Y17" t="s">
        <v>302</v>
      </c>
    </row>
    <row r="18" spans="1:25" x14ac:dyDescent="0.25">
      <c r="A18" t="s">
        <v>17</v>
      </c>
      <c r="B18">
        <v>37.0680111671048</v>
      </c>
      <c r="C18">
        <v>17.160236606518001</v>
      </c>
      <c r="D18" s="11" t="s">
        <v>161</v>
      </c>
      <c r="F18" s="8" t="str">
        <f t="shared" si="0"/>
        <v>New "Load.m2_trf_5286799a" bus1="82021995286799.1.2.3.4" phases=3 conn=Wye model=3 kv=0.380 kw=37,0680111671048 kvar=17,160236606518 daily="CURVA" status=variable vmaxpu=1.5 vminpu=0.92</v>
      </c>
      <c r="G18" t="s">
        <v>290</v>
      </c>
      <c r="H18" t="s">
        <v>303</v>
      </c>
      <c r="I18" s="5" t="str">
        <f t="shared" si="1"/>
        <v>m2_trf_5286799a</v>
      </c>
      <c r="J18" t="s">
        <v>291</v>
      </c>
      <c r="K18" t="s">
        <v>292</v>
      </c>
      <c r="L18" s="13" t="str">
        <f t="shared" si="2"/>
        <v>82021995286799</v>
      </c>
      <c r="M18" t="s">
        <v>293</v>
      </c>
      <c r="N18" t="s">
        <v>294</v>
      </c>
      <c r="O18" t="s">
        <v>295</v>
      </c>
      <c r="P18" t="s">
        <v>296</v>
      </c>
      <c r="Q18" t="s">
        <v>297</v>
      </c>
      <c r="R18" t="s">
        <v>298</v>
      </c>
      <c r="S18" s="5">
        <f t="shared" si="3"/>
        <v>37.0680111671048</v>
      </c>
      <c r="T18" t="s">
        <v>299</v>
      </c>
      <c r="U18" s="5">
        <f t="shared" si="4"/>
        <v>17.160236606518001</v>
      </c>
      <c r="V18" t="s">
        <v>448</v>
      </c>
      <c r="W18" t="s">
        <v>300</v>
      </c>
      <c r="X18" t="s">
        <v>301</v>
      </c>
      <c r="Y18" t="s">
        <v>302</v>
      </c>
    </row>
    <row r="19" spans="1:25" x14ac:dyDescent="0.25">
      <c r="A19" t="s">
        <v>18</v>
      </c>
      <c r="B19">
        <v>31.811828311764199</v>
      </c>
      <c r="C19">
        <v>14.788936439925401</v>
      </c>
      <c r="D19" s="11" t="s">
        <v>162</v>
      </c>
      <c r="F19" s="8" t="str">
        <f t="shared" si="0"/>
        <v>New "Load.m2_trf_5286800a" bus1="82024325286800.1.2.3.4" phases=3 conn=Wye model=3 kv=0.380 kw=31,8118283117642 kvar=14,7889364399254 daily="CURVA" status=variable vmaxpu=1.5 vminpu=0.92</v>
      </c>
      <c r="G19" t="s">
        <v>290</v>
      </c>
      <c r="H19" t="s">
        <v>303</v>
      </c>
      <c r="I19" s="5" t="str">
        <f t="shared" si="1"/>
        <v>m2_trf_5286800a</v>
      </c>
      <c r="J19" t="s">
        <v>291</v>
      </c>
      <c r="K19" t="s">
        <v>292</v>
      </c>
      <c r="L19" s="13" t="str">
        <f t="shared" si="2"/>
        <v>82024325286800</v>
      </c>
      <c r="M19" t="s">
        <v>293</v>
      </c>
      <c r="N19" t="s">
        <v>294</v>
      </c>
      <c r="O19" t="s">
        <v>295</v>
      </c>
      <c r="P19" t="s">
        <v>296</v>
      </c>
      <c r="Q19" t="s">
        <v>297</v>
      </c>
      <c r="R19" t="s">
        <v>298</v>
      </c>
      <c r="S19" s="5">
        <f t="shared" si="3"/>
        <v>31.811828311764199</v>
      </c>
      <c r="T19" t="s">
        <v>299</v>
      </c>
      <c r="U19" s="5">
        <f t="shared" si="4"/>
        <v>14.788936439925401</v>
      </c>
      <c r="V19" t="s">
        <v>448</v>
      </c>
      <c r="W19" t="s">
        <v>300</v>
      </c>
      <c r="X19" t="s">
        <v>301</v>
      </c>
      <c r="Y19" t="s">
        <v>302</v>
      </c>
    </row>
    <row r="20" spans="1:25" x14ac:dyDescent="0.25">
      <c r="A20" t="s">
        <v>19</v>
      </c>
      <c r="B20">
        <v>22.5086119257695</v>
      </c>
      <c r="C20">
        <v>10.4704796949189</v>
      </c>
      <c r="D20" s="11" t="s">
        <v>163</v>
      </c>
      <c r="F20" s="8" t="str">
        <f t="shared" si="0"/>
        <v>New "Load.m2_trf_5286801a" bus1="82022225286801.1.2.3.4" phases=3 conn=Wye model=3 kv=0.380 kw=22,5086119257695 kvar=10,4704796949189 daily="CURVA" status=variable vmaxpu=1.5 vminpu=0.92</v>
      </c>
      <c r="G20" t="s">
        <v>290</v>
      </c>
      <c r="H20" t="s">
        <v>303</v>
      </c>
      <c r="I20" s="5" t="str">
        <f t="shared" si="1"/>
        <v>m2_trf_5286801a</v>
      </c>
      <c r="J20" t="s">
        <v>291</v>
      </c>
      <c r="K20" t="s">
        <v>292</v>
      </c>
      <c r="L20" s="13" t="str">
        <f t="shared" si="2"/>
        <v>82022225286801</v>
      </c>
      <c r="M20" t="s">
        <v>293</v>
      </c>
      <c r="N20" t="s">
        <v>294</v>
      </c>
      <c r="O20" t="s">
        <v>295</v>
      </c>
      <c r="P20" t="s">
        <v>296</v>
      </c>
      <c r="Q20" t="s">
        <v>297</v>
      </c>
      <c r="R20" t="s">
        <v>298</v>
      </c>
      <c r="S20" s="5">
        <f t="shared" si="3"/>
        <v>22.5086119257695</v>
      </c>
      <c r="T20" t="s">
        <v>299</v>
      </c>
      <c r="U20" s="5">
        <f t="shared" si="4"/>
        <v>10.4704796949189</v>
      </c>
      <c r="V20" t="s">
        <v>448</v>
      </c>
      <c r="W20" t="s">
        <v>300</v>
      </c>
      <c r="X20" t="s">
        <v>301</v>
      </c>
      <c r="Y20" t="s">
        <v>302</v>
      </c>
    </row>
    <row r="21" spans="1:25" x14ac:dyDescent="0.25">
      <c r="A21" t="s">
        <v>20</v>
      </c>
      <c r="B21">
        <v>19.244378532129399</v>
      </c>
      <c r="C21">
        <v>8.9140267586486601</v>
      </c>
      <c r="D21" s="11" t="s">
        <v>164</v>
      </c>
      <c r="F21" s="8" t="str">
        <f t="shared" si="0"/>
        <v>New "Load.m2_trf_5286802a" bus1="82021615286802.1.2.3.4" phases=3 conn=Wye model=3 kv=0.380 kw=19,2443785321294 kvar=8,91402675864866 daily="CURVA" status=variable vmaxpu=1.5 vminpu=0.92</v>
      </c>
      <c r="G21" t="s">
        <v>290</v>
      </c>
      <c r="H21" t="s">
        <v>303</v>
      </c>
      <c r="I21" s="5" t="str">
        <f t="shared" si="1"/>
        <v>m2_trf_5286802a</v>
      </c>
      <c r="J21" t="s">
        <v>291</v>
      </c>
      <c r="K21" t="s">
        <v>292</v>
      </c>
      <c r="L21" s="13" t="str">
        <f t="shared" si="2"/>
        <v>82021615286802</v>
      </c>
      <c r="M21" t="s">
        <v>293</v>
      </c>
      <c r="N21" t="s">
        <v>294</v>
      </c>
      <c r="O21" t="s">
        <v>295</v>
      </c>
      <c r="P21" t="s">
        <v>296</v>
      </c>
      <c r="Q21" t="s">
        <v>297</v>
      </c>
      <c r="R21" t="s">
        <v>298</v>
      </c>
      <c r="S21" s="5">
        <f t="shared" si="3"/>
        <v>19.244378532129399</v>
      </c>
      <c r="T21" t="s">
        <v>299</v>
      </c>
      <c r="U21" s="5">
        <f t="shared" si="4"/>
        <v>8.9140267586486601</v>
      </c>
      <c r="V21" t="s">
        <v>448</v>
      </c>
      <c r="W21" t="s">
        <v>300</v>
      </c>
      <c r="X21" t="s">
        <v>301</v>
      </c>
      <c r="Y21" t="s">
        <v>302</v>
      </c>
    </row>
    <row r="22" spans="1:25" x14ac:dyDescent="0.25">
      <c r="A22" t="s">
        <v>21</v>
      </c>
      <c r="B22">
        <v>36.926594614870503</v>
      </c>
      <c r="C22">
        <v>16.883860131407701</v>
      </c>
      <c r="D22" s="11" t="s">
        <v>165</v>
      </c>
      <c r="F22" s="8" t="str">
        <f t="shared" si="0"/>
        <v>New "Load.m2_trf_5286803a" bus1="82036745286803.1.2.3.4" phases=3 conn=Wye model=3 kv=0.380 kw=36,9265946148705 kvar=16,8838601314077 daily="CURVA" status=variable vmaxpu=1.5 vminpu=0.92</v>
      </c>
      <c r="G22" t="s">
        <v>290</v>
      </c>
      <c r="H22" t="s">
        <v>303</v>
      </c>
      <c r="I22" s="5" t="str">
        <f t="shared" si="1"/>
        <v>m2_trf_5286803a</v>
      </c>
      <c r="J22" t="s">
        <v>291</v>
      </c>
      <c r="K22" t="s">
        <v>292</v>
      </c>
      <c r="L22" s="13" t="str">
        <f t="shared" si="2"/>
        <v>82036745286803</v>
      </c>
      <c r="M22" t="s">
        <v>293</v>
      </c>
      <c r="N22" t="s">
        <v>294</v>
      </c>
      <c r="O22" t="s">
        <v>295</v>
      </c>
      <c r="P22" t="s">
        <v>296</v>
      </c>
      <c r="Q22" t="s">
        <v>297</v>
      </c>
      <c r="R22" t="s">
        <v>298</v>
      </c>
      <c r="S22" s="5">
        <f t="shared" si="3"/>
        <v>36.926594614870503</v>
      </c>
      <c r="T22" t="s">
        <v>299</v>
      </c>
      <c r="U22" s="5">
        <f t="shared" si="4"/>
        <v>16.883860131407701</v>
      </c>
      <c r="V22" t="s">
        <v>448</v>
      </c>
      <c r="W22" t="s">
        <v>300</v>
      </c>
      <c r="X22" t="s">
        <v>301</v>
      </c>
      <c r="Y22" t="s">
        <v>302</v>
      </c>
    </row>
    <row r="23" spans="1:25" x14ac:dyDescent="0.25">
      <c r="A23" t="s">
        <v>22</v>
      </c>
      <c r="B23">
        <v>33.9698564773648</v>
      </c>
      <c r="C23">
        <v>15.519836684898699</v>
      </c>
      <c r="D23" s="11" t="s">
        <v>166</v>
      </c>
      <c r="F23" s="8" t="str">
        <f t="shared" si="0"/>
        <v>New "Load.m2_trf_5286804a" bus1="82033055286804.1.2.3.4" phases=3 conn=Wye model=3 kv=0.380 kw=33,9698564773648 kvar=15,5198366848987 daily="CURVA" status=variable vmaxpu=1.5 vminpu=0.92</v>
      </c>
      <c r="G23" t="s">
        <v>290</v>
      </c>
      <c r="H23" t="s">
        <v>303</v>
      </c>
      <c r="I23" s="5" t="str">
        <f t="shared" si="1"/>
        <v>m2_trf_5286804a</v>
      </c>
      <c r="J23" t="s">
        <v>291</v>
      </c>
      <c r="K23" t="s">
        <v>292</v>
      </c>
      <c r="L23" s="13" t="str">
        <f t="shared" si="2"/>
        <v>82033055286804</v>
      </c>
      <c r="M23" t="s">
        <v>293</v>
      </c>
      <c r="N23" t="s">
        <v>294</v>
      </c>
      <c r="O23" t="s">
        <v>295</v>
      </c>
      <c r="P23" t="s">
        <v>296</v>
      </c>
      <c r="Q23" t="s">
        <v>297</v>
      </c>
      <c r="R23" t="s">
        <v>298</v>
      </c>
      <c r="S23" s="5">
        <f t="shared" si="3"/>
        <v>33.9698564773648</v>
      </c>
      <c r="T23" t="s">
        <v>299</v>
      </c>
      <c r="U23" s="5">
        <f t="shared" si="4"/>
        <v>15.519836684898699</v>
      </c>
      <c r="V23" t="s">
        <v>448</v>
      </c>
      <c r="W23" t="s">
        <v>300</v>
      </c>
      <c r="X23" t="s">
        <v>301</v>
      </c>
      <c r="Y23" t="s">
        <v>302</v>
      </c>
    </row>
    <row r="24" spans="1:25" x14ac:dyDescent="0.25">
      <c r="A24" t="s">
        <v>23</v>
      </c>
      <c r="B24">
        <v>22.825816930754101</v>
      </c>
      <c r="C24">
        <v>10.5099702995059</v>
      </c>
      <c r="D24" s="11" t="s">
        <v>167</v>
      </c>
      <c r="F24" s="8" t="str">
        <f t="shared" si="0"/>
        <v>New "Load.m2_trf_5286805a" bus1="82033395286805.1.2.3.4" phases=3 conn=Wye model=3 kv=0.380 kw=22,8258169307541 kvar=10,5099702995059 daily="CURVA" status=variable vmaxpu=1.5 vminpu=0.92</v>
      </c>
      <c r="G24" t="s">
        <v>290</v>
      </c>
      <c r="H24" t="s">
        <v>303</v>
      </c>
      <c r="I24" s="5" t="str">
        <f t="shared" si="1"/>
        <v>m2_trf_5286805a</v>
      </c>
      <c r="J24" t="s">
        <v>291</v>
      </c>
      <c r="K24" t="s">
        <v>292</v>
      </c>
      <c r="L24" s="13" t="str">
        <f t="shared" si="2"/>
        <v>82033395286805</v>
      </c>
      <c r="M24" t="s">
        <v>293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s="5">
        <f t="shared" si="3"/>
        <v>22.825816930754101</v>
      </c>
      <c r="T24" t="s">
        <v>299</v>
      </c>
      <c r="U24" s="5">
        <f t="shared" si="4"/>
        <v>10.5099702995059</v>
      </c>
      <c r="V24" t="s">
        <v>448</v>
      </c>
      <c r="W24" t="s">
        <v>300</v>
      </c>
      <c r="X24" t="s">
        <v>301</v>
      </c>
      <c r="Y24" t="s">
        <v>302</v>
      </c>
    </row>
    <row r="25" spans="1:25" x14ac:dyDescent="0.25">
      <c r="A25" t="s">
        <v>24</v>
      </c>
      <c r="B25">
        <v>29.407436133651899</v>
      </c>
      <c r="C25">
        <v>13.814809920822301</v>
      </c>
      <c r="D25" s="11" t="s">
        <v>168</v>
      </c>
      <c r="F25" s="8" t="str">
        <f t="shared" si="0"/>
        <v>New "Load.m2_trf_5286806a" bus1="82024965286806.1.2.3.4" phases=3 conn=Wye model=3 kv=0.380 kw=29,4074361336519 kvar=13,8148099208223 daily="CURVA" status=variable vmaxpu=1.5 vminpu=0.92</v>
      </c>
      <c r="G25" t="s">
        <v>290</v>
      </c>
      <c r="H25" t="s">
        <v>303</v>
      </c>
      <c r="I25" s="5" t="str">
        <f t="shared" si="1"/>
        <v>m2_trf_5286806a</v>
      </c>
      <c r="J25" t="s">
        <v>291</v>
      </c>
      <c r="K25" t="s">
        <v>292</v>
      </c>
      <c r="L25" s="13" t="str">
        <f t="shared" si="2"/>
        <v>82024965286806</v>
      </c>
      <c r="M25" t="s">
        <v>293</v>
      </c>
      <c r="N25" t="s">
        <v>294</v>
      </c>
      <c r="O25" t="s">
        <v>295</v>
      </c>
      <c r="P25" t="s">
        <v>296</v>
      </c>
      <c r="Q25" t="s">
        <v>297</v>
      </c>
      <c r="R25" t="s">
        <v>298</v>
      </c>
      <c r="S25" s="5">
        <f t="shared" si="3"/>
        <v>29.407436133651899</v>
      </c>
      <c r="T25" t="s">
        <v>299</v>
      </c>
      <c r="U25" s="5">
        <f t="shared" si="4"/>
        <v>13.814809920822301</v>
      </c>
      <c r="V25" t="s">
        <v>448</v>
      </c>
      <c r="W25" t="s">
        <v>300</v>
      </c>
      <c r="X25" t="s">
        <v>301</v>
      </c>
      <c r="Y25" t="s">
        <v>302</v>
      </c>
    </row>
    <row r="26" spans="1:25" x14ac:dyDescent="0.25">
      <c r="A26" t="s">
        <v>25</v>
      </c>
      <c r="B26">
        <v>41.326595493363797</v>
      </c>
      <c r="C26">
        <v>19.156146163806401</v>
      </c>
      <c r="D26" s="11" t="s">
        <v>169</v>
      </c>
      <c r="F26" s="8" t="str">
        <f t="shared" si="0"/>
        <v>New "Load.m2_trf_5286807a" bus1="90855665286807.1.2.3.4" phases=3 conn=Wye model=3 kv=0.380 kw=41,3265954933638 kvar=19,1561461638064 daily="CURVA" status=variable vmaxpu=1.5 vminpu=0.92</v>
      </c>
      <c r="G26" t="s">
        <v>290</v>
      </c>
      <c r="H26" t="s">
        <v>303</v>
      </c>
      <c r="I26" s="5" t="str">
        <f t="shared" si="1"/>
        <v>m2_trf_5286807a</v>
      </c>
      <c r="J26" t="s">
        <v>291</v>
      </c>
      <c r="K26" t="s">
        <v>292</v>
      </c>
      <c r="L26" s="13" t="str">
        <f t="shared" si="2"/>
        <v>90855665286807</v>
      </c>
      <c r="M26" t="s">
        <v>293</v>
      </c>
      <c r="N26" t="s">
        <v>294</v>
      </c>
      <c r="O26" t="s">
        <v>295</v>
      </c>
      <c r="P26" t="s">
        <v>296</v>
      </c>
      <c r="Q26" t="s">
        <v>297</v>
      </c>
      <c r="R26" t="s">
        <v>298</v>
      </c>
      <c r="S26" s="5">
        <f t="shared" si="3"/>
        <v>41.326595493363797</v>
      </c>
      <c r="T26" t="s">
        <v>299</v>
      </c>
      <c r="U26" s="5">
        <f t="shared" si="4"/>
        <v>19.156146163806401</v>
      </c>
      <c r="V26" t="s">
        <v>448</v>
      </c>
      <c r="W26" t="s">
        <v>300</v>
      </c>
      <c r="X26" t="s">
        <v>301</v>
      </c>
      <c r="Y26" t="s">
        <v>302</v>
      </c>
    </row>
    <row r="27" spans="1:25" x14ac:dyDescent="0.25">
      <c r="A27" t="s">
        <v>26</v>
      </c>
      <c r="B27">
        <v>41.789899698887702</v>
      </c>
      <c r="C27">
        <v>19.0591725679962</v>
      </c>
      <c r="D27" s="11" t="s">
        <v>170</v>
      </c>
      <c r="F27" s="8" t="str">
        <f t="shared" si="0"/>
        <v>New "Load.m2_trf_5286808a" bus1="82027905286808.1.2.3.4" phases=3 conn=Wye model=3 kv=0.380 kw=41,7898996988877 kvar=19,0591725679962 daily="CURVA" status=variable vmaxpu=1.5 vminpu=0.92</v>
      </c>
      <c r="G27" t="s">
        <v>290</v>
      </c>
      <c r="H27" t="s">
        <v>303</v>
      </c>
      <c r="I27" s="5" t="str">
        <f t="shared" si="1"/>
        <v>m2_trf_5286808a</v>
      </c>
      <c r="J27" t="s">
        <v>291</v>
      </c>
      <c r="K27" t="s">
        <v>292</v>
      </c>
      <c r="L27" s="13" t="str">
        <f t="shared" si="2"/>
        <v>82027905286808</v>
      </c>
      <c r="M27" t="s">
        <v>293</v>
      </c>
      <c r="N27" t="s">
        <v>294</v>
      </c>
      <c r="O27" t="s">
        <v>295</v>
      </c>
      <c r="P27" t="s">
        <v>296</v>
      </c>
      <c r="Q27" t="s">
        <v>297</v>
      </c>
      <c r="R27" t="s">
        <v>298</v>
      </c>
      <c r="S27" s="5">
        <f t="shared" si="3"/>
        <v>41.789899698887702</v>
      </c>
      <c r="T27" t="s">
        <v>299</v>
      </c>
      <c r="U27" s="5">
        <f t="shared" si="4"/>
        <v>19.0591725679962</v>
      </c>
      <c r="V27" t="s">
        <v>448</v>
      </c>
      <c r="W27" t="s">
        <v>300</v>
      </c>
      <c r="X27" t="s">
        <v>301</v>
      </c>
      <c r="Y27" t="s">
        <v>302</v>
      </c>
    </row>
    <row r="28" spans="1:25" x14ac:dyDescent="0.25">
      <c r="A28" t="s">
        <v>27</v>
      </c>
      <c r="B28">
        <v>29.195095719737299</v>
      </c>
      <c r="C28">
        <v>13.4801863422098</v>
      </c>
      <c r="D28" s="11" t="s">
        <v>171</v>
      </c>
      <c r="F28" s="8" t="str">
        <f t="shared" si="0"/>
        <v>New "Load.m2_trf_5286809a" bus1="82028045286809.1.2.3.4" phases=3 conn=Wye model=3 kv=0.380 kw=29,1950957197373 kvar=13,4801863422098 daily="CURVA" status=variable vmaxpu=1.5 vminpu=0.92</v>
      </c>
      <c r="G28" t="s">
        <v>290</v>
      </c>
      <c r="H28" t="s">
        <v>303</v>
      </c>
      <c r="I28" s="5" t="str">
        <f t="shared" si="1"/>
        <v>m2_trf_5286809a</v>
      </c>
      <c r="J28" t="s">
        <v>291</v>
      </c>
      <c r="K28" t="s">
        <v>292</v>
      </c>
      <c r="L28" s="13" t="str">
        <f t="shared" si="2"/>
        <v>82028045286809</v>
      </c>
      <c r="M28" t="s">
        <v>293</v>
      </c>
      <c r="N28" t="s">
        <v>294</v>
      </c>
      <c r="O28" t="s">
        <v>295</v>
      </c>
      <c r="P28" t="s">
        <v>296</v>
      </c>
      <c r="Q28" t="s">
        <v>297</v>
      </c>
      <c r="R28" t="s">
        <v>298</v>
      </c>
      <c r="S28" s="5">
        <f t="shared" si="3"/>
        <v>29.195095719737299</v>
      </c>
      <c r="T28" t="s">
        <v>299</v>
      </c>
      <c r="U28" s="5">
        <f t="shared" si="4"/>
        <v>13.4801863422098</v>
      </c>
      <c r="V28" t="s">
        <v>448</v>
      </c>
      <c r="W28" t="s">
        <v>300</v>
      </c>
      <c r="X28" t="s">
        <v>301</v>
      </c>
      <c r="Y28" t="s">
        <v>302</v>
      </c>
    </row>
    <row r="29" spans="1:25" x14ac:dyDescent="0.25">
      <c r="A29" t="s">
        <v>28</v>
      </c>
      <c r="B29">
        <v>47.675325888831203</v>
      </c>
      <c r="C29">
        <v>22.3618057363697</v>
      </c>
      <c r="D29" s="11" t="s">
        <v>172</v>
      </c>
      <c r="F29" s="8" t="str">
        <f t="shared" si="0"/>
        <v>New "Load.m2_trf_5286810a" bus1="82028035286810.1.2.3.4" phases=3 conn=Wye model=3 kv=0.380 kw=47,6753258888312 kvar=22,3618057363697 daily="CURVA" status=variable vmaxpu=1.5 vminpu=0.92</v>
      </c>
      <c r="G29" t="s">
        <v>290</v>
      </c>
      <c r="H29" t="s">
        <v>303</v>
      </c>
      <c r="I29" s="5" t="str">
        <f t="shared" si="1"/>
        <v>m2_trf_5286810a</v>
      </c>
      <c r="J29" t="s">
        <v>291</v>
      </c>
      <c r="K29" t="s">
        <v>292</v>
      </c>
      <c r="L29" s="13" t="str">
        <f t="shared" si="2"/>
        <v>82028035286810</v>
      </c>
      <c r="M29" t="s">
        <v>293</v>
      </c>
      <c r="N29" t="s">
        <v>294</v>
      </c>
      <c r="O29" t="s">
        <v>295</v>
      </c>
      <c r="P29" t="s">
        <v>296</v>
      </c>
      <c r="Q29" t="s">
        <v>297</v>
      </c>
      <c r="R29" t="s">
        <v>298</v>
      </c>
      <c r="S29" s="5">
        <f t="shared" si="3"/>
        <v>47.675325888831203</v>
      </c>
      <c r="T29" t="s">
        <v>299</v>
      </c>
      <c r="U29" s="5">
        <f t="shared" si="4"/>
        <v>22.3618057363697</v>
      </c>
      <c r="V29" t="s">
        <v>448</v>
      </c>
      <c r="W29" t="s">
        <v>300</v>
      </c>
      <c r="X29" t="s">
        <v>301</v>
      </c>
      <c r="Y29" t="s">
        <v>302</v>
      </c>
    </row>
    <row r="30" spans="1:25" x14ac:dyDescent="0.25">
      <c r="A30" t="s">
        <v>29</v>
      </c>
      <c r="B30">
        <v>35.998755898596499</v>
      </c>
      <c r="C30">
        <v>16.7240229098655</v>
      </c>
      <c r="D30" s="11" t="s">
        <v>173</v>
      </c>
      <c r="F30" s="8" t="str">
        <f t="shared" si="0"/>
        <v>New "Load.m2_trf_5286811a" bus1="82026685286811.1.2.3.4" phases=3 conn=Wye model=3 kv=0.380 kw=35,9987558985965 kvar=16,7240229098655 daily="CURVA" status=variable vmaxpu=1.5 vminpu=0.92</v>
      </c>
      <c r="G30" t="s">
        <v>290</v>
      </c>
      <c r="H30" t="s">
        <v>303</v>
      </c>
      <c r="I30" s="5" t="str">
        <f t="shared" si="1"/>
        <v>m2_trf_5286811a</v>
      </c>
      <c r="J30" t="s">
        <v>291</v>
      </c>
      <c r="K30" t="s">
        <v>292</v>
      </c>
      <c r="L30" s="13" t="str">
        <f t="shared" si="2"/>
        <v>82026685286811</v>
      </c>
      <c r="M30" t="s">
        <v>293</v>
      </c>
      <c r="N30" t="s">
        <v>294</v>
      </c>
      <c r="O30" t="s">
        <v>295</v>
      </c>
      <c r="P30" t="s">
        <v>296</v>
      </c>
      <c r="Q30" t="s">
        <v>297</v>
      </c>
      <c r="R30" t="s">
        <v>298</v>
      </c>
      <c r="S30" s="5">
        <f t="shared" si="3"/>
        <v>35.998755898596499</v>
      </c>
      <c r="T30" t="s">
        <v>299</v>
      </c>
      <c r="U30" s="5">
        <f t="shared" si="4"/>
        <v>16.7240229098655</v>
      </c>
      <c r="V30" t="s">
        <v>448</v>
      </c>
      <c r="W30" t="s">
        <v>300</v>
      </c>
      <c r="X30" t="s">
        <v>301</v>
      </c>
      <c r="Y30" t="s">
        <v>302</v>
      </c>
    </row>
    <row r="31" spans="1:25" x14ac:dyDescent="0.25">
      <c r="A31" t="s">
        <v>30</v>
      </c>
      <c r="B31">
        <v>62.255033647471897</v>
      </c>
      <c r="C31">
        <v>29.0547297113384</v>
      </c>
      <c r="D31" s="11" t="s">
        <v>174</v>
      </c>
      <c r="F31" s="8" t="str">
        <f t="shared" si="0"/>
        <v>New "Load.m2_trf_5286812a" bus1="82026915286812.1.2.3.4" phases=3 conn=Wye model=3 kv=0.380 kw=62,2550336474719 kvar=29,0547297113384 daily="CURVA" status=variable vmaxpu=1.5 vminpu=0.92</v>
      </c>
      <c r="G31" t="s">
        <v>290</v>
      </c>
      <c r="H31" t="s">
        <v>303</v>
      </c>
      <c r="I31" s="5" t="str">
        <f t="shared" si="1"/>
        <v>m2_trf_5286812a</v>
      </c>
      <c r="J31" t="s">
        <v>291</v>
      </c>
      <c r="K31" t="s">
        <v>292</v>
      </c>
      <c r="L31" s="13" t="str">
        <f t="shared" si="2"/>
        <v>82026915286812</v>
      </c>
      <c r="M31" t="s">
        <v>293</v>
      </c>
      <c r="N31" t="s">
        <v>294</v>
      </c>
      <c r="O31" t="s">
        <v>295</v>
      </c>
      <c r="P31" t="s">
        <v>296</v>
      </c>
      <c r="Q31" t="s">
        <v>297</v>
      </c>
      <c r="R31" t="s">
        <v>298</v>
      </c>
      <c r="S31" s="5">
        <f t="shared" si="3"/>
        <v>62.255033647471897</v>
      </c>
      <c r="T31" t="s">
        <v>299</v>
      </c>
      <c r="U31" s="5">
        <f t="shared" si="4"/>
        <v>29.0547297113384</v>
      </c>
      <c r="V31" t="s">
        <v>448</v>
      </c>
      <c r="W31" t="s">
        <v>300</v>
      </c>
      <c r="X31" t="s">
        <v>301</v>
      </c>
      <c r="Y31" t="s">
        <v>302</v>
      </c>
    </row>
    <row r="32" spans="1:25" x14ac:dyDescent="0.25">
      <c r="A32" t="s">
        <v>31</v>
      </c>
      <c r="B32">
        <v>16.735639813787799</v>
      </c>
      <c r="C32">
        <v>7.7478132175996901</v>
      </c>
      <c r="D32" s="11" t="s">
        <v>175</v>
      </c>
      <c r="F32" s="8" t="str">
        <f t="shared" si="0"/>
        <v>New "Load.m2_trf_5286813a" bus1="82028365286813.1.2.3.4" phases=3 conn=Wye model=3 kv=0.380 kw=16,7356398137878 kvar=7,74781321759969 daily="CURVA" status=variable vmaxpu=1.5 vminpu=0.92</v>
      </c>
      <c r="G32" t="s">
        <v>290</v>
      </c>
      <c r="H32" t="s">
        <v>303</v>
      </c>
      <c r="I32" s="5" t="str">
        <f t="shared" si="1"/>
        <v>m2_trf_5286813a</v>
      </c>
      <c r="J32" t="s">
        <v>291</v>
      </c>
      <c r="K32" t="s">
        <v>292</v>
      </c>
      <c r="L32" s="13" t="str">
        <f t="shared" si="2"/>
        <v>82028365286813</v>
      </c>
      <c r="M32" t="s">
        <v>293</v>
      </c>
      <c r="N32" t="s">
        <v>294</v>
      </c>
      <c r="O32" t="s">
        <v>295</v>
      </c>
      <c r="P32" t="s">
        <v>296</v>
      </c>
      <c r="Q32" t="s">
        <v>297</v>
      </c>
      <c r="R32" t="s">
        <v>298</v>
      </c>
      <c r="S32" s="5">
        <f t="shared" si="3"/>
        <v>16.735639813787799</v>
      </c>
      <c r="T32" t="s">
        <v>299</v>
      </c>
      <c r="U32" s="5">
        <f t="shared" si="4"/>
        <v>7.7478132175996901</v>
      </c>
      <c r="V32" t="s">
        <v>448</v>
      </c>
      <c r="W32" t="s">
        <v>300</v>
      </c>
      <c r="X32" t="s">
        <v>301</v>
      </c>
      <c r="Y32" t="s">
        <v>302</v>
      </c>
    </row>
    <row r="33" spans="1:25" x14ac:dyDescent="0.25">
      <c r="A33" t="s">
        <v>32</v>
      </c>
      <c r="B33">
        <v>37.660330910371997</v>
      </c>
      <c r="C33">
        <v>17.454334709310601</v>
      </c>
      <c r="D33" s="11" t="s">
        <v>176</v>
      </c>
      <c r="F33" s="8" t="str">
        <f t="shared" si="0"/>
        <v>New "Load.m2_trf_5286814a" bus1="82027655286814.1.2.3.4" phases=3 conn=Wye model=3 kv=0.380 kw=37,660330910372 kvar=17,4543347093106 daily="CURVA" status=variable vmaxpu=1.5 vminpu=0.92</v>
      </c>
      <c r="G33" t="s">
        <v>290</v>
      </c>
      <c r="H33" t="s">
        <v>303</v>
      </c>
      <c r="I33" s="5" t="str">
        <f t="shared" si="1"/>
        <v>m2_trf_5286814a</v>
      </c>
      <c r="J33" t="s">
        <v>291</v>
      </c>
      <c r="K33" t="s">
        <v>292</v>
      </c>
      <c r="L33" s="13" t="str">
        <f t="shared" si="2"/>
        <v>82027655286814</v>
      </c>
      <c r="M33" t="s">
        <v>293</v>
      </c>
      <c r="N33" t="s">
        <v>294</v>
      </c>
      <c r="O33" t="s">
        <v>295</v>
      </c>
      <c r="P33" t="s">
        <v>296</v>
      </c>
      <c r="Q33" t="s">
        <v>297</v>
      </c>
      <c r="R33" t="s">
        <v>298</v>
      </c>
      <c r="S33" s="5">
        <f t="shared" si="3"/>
        <v>37.660330910371997</v>
      </c>
      <c r="T33" t="s">
        <v>299</v>
      </c>
      <c r="U33" s="5">
        <f t="shared" si="4"/>
        <v>17.454334709310601</v>
      </c>
      <c r="V33" t="s">
        <v>448</v>
      </c>
      <c r="W33" t="s">
        <v>300</v>
      </c>
      <c r="X33" t="s">
        <v>301</v>
      </c>
      <c r="Y33" t="s">
        <v>302</v>
      </c>
    </row>
    <row r="34" spans="1:25" x14ac:dyDescent="0.25">
      <c r="A34" t="s">
        <v>33</v>
      </c>
      <c r="B34">
        <v>42.853782373774301</v>
      </c>
      <c r="C34">
        <v>19.932590340743001</v>
      </c>
      <c r="D34" s="11" t="s">
        <v>177</v>
      </c>
      <c r="F34" s="8" t="str">
        <f t="shared" si="0"/>
        <v>New "Load.m2_trf_5286815a" bus1="82027735286815.1.2.3.4" phases=3 conn=Wye model=3 kv=0.380 kw=42,8537823737743 kvar=19,932590340743 daily="CURVA" status=variable vmaxpu=1.5 vminpu=0.92</v>
      </c>
      <c r="G34" t="s">
        <v>290</v>
      </c>
      <c r="H34" t="s">
        <v>303</v>
      </c>
      <c r="I34" s="5" t="str">
        <f t="shared" si="1"/>
        <v>m2_trf_5286815a</v>
      </c>
      <c r="J34" t="s">
        <v>291</v>
      </c>
      <c r="K34" t="s">
        <v>292</v>
      </c>
      <c r="L34" s="13" t="str">
        <f t="shared" si="2"/>
        <v>82027735286815</v>
      </c>
      <c r="M34" t="s">
        <v>293</v>
      </c>
      <c r="N34" t="s">
        <v>294</v>
      </c>
      <c r="O34" t="s">
        <v>295</v>
      </c>
      <c r="P34" t="s">
        <v>296</v>
      </c>
      <c r="Q34" t="s">
        <v>297</v>
      </c>
      <c r="R34" t="s">
        <v>298</v>
      </c>
      <c r="S34" s="5">
        <f t="shared" si="3"/>
        <v>42.853782373774301</v>
      </c>
      <c r="T34" t="s">
        <v>299</v>
      </c>
      <c r="U34" s="5">
        <f t="shared" si="4"/>
        <v>19.932590340743001</v>
      </c>
      <c r="V34" t="s">
        <v>448</v>
      </c>
      <c r="W34" t="s">
        <v>300</v>
      </c>
      <c r="X34" t="s">
        <v>301</v>
      </c>
      <c r="Y34" t="s">
        <v>302</v>
      </c>
    </row>
    <row r="35" spans="1:25" x14ac:dyDescent="0.25">
      <c r="A35" t="s">
        <v>34</v>
      </c>
      <c r="B35">
        <v>35.120474036207497</v>
      </c>
      <c r="C35">
        <v>16.4381312705117</v>
      </c>
      <c r="D35" s="11" t="s">
        <v>178</v>
      </c>
      <c r="F35" s="8" t="str">
        <f t="shared" si="0"/>
        <v>New "Load.m2_trf_5286816a" bus1="82029355286816.1.2.3.4" phases=3 conn=Wye model=3 kv=0.380 kw=35,1204740362075 kvar=16,4381312705117 daily="CURVA" status=variable vmaxpu=1.5 vminpu=0.92</v>
      </c>
      <c r="G35" t="s">
        <v>290</v>
      </c>
      <c r="H35" t="s">
        <v>303</v>
      </c>
      <c r="I35" s="5" t="str">
        <f t="shared" si="1"/>
        <v>m2_trf_5286816a</v>
      </c>
      <c r="J35" t="s">
        <v>291</v>
      </c>
      <c r="K35" t="s">
        <v>292</v>
      </c>
      <c r="L35" s="13" t="str">
        <f t="shared" si="2"/>
        <v>82029355286816</v>
      </c>
      <c r="M35" t="s">
        <v>293</v>
      </c>
      <c r="N35" t="s">
        <v>294</v>
      </c>
      <c r="O35" t="s">
        <v>295</v>
      </c>
      <c r="P35" t="s">
        <v>296</v>
      </c>
      <c r="Q35" t="s">
        <v>297</v>
      </c>
      <c r="R35" t="s">
        <v>298</v>
      </c>
      <c r="S35" s="5">
        <f t="shared" si="3"/>
        <v>35.120474036207497</v>
      </c>
      <c r="T35" t="s">
        <v>299</v>
      </c>
      <c r="U35" s="5">
        <f t="shared" si="4"/>
        <v>16.4381312705117</v>
      </c>
      <c r="V35" t="s">
        <v>448</v>
      </c>
      <c r="W35" t="s">
        <v>300</v>
      </c>
      <c r="X35" t="s">
        <v>301</v>
      </c>
      <c r="Y35" t="s">
        <v>302</v>
      </c>
    </row>
    <row r="36" spans="1:25" x14ac:dyDescent="0.25">
      <c r="A36" t="s">
        <v>35</v>
      </c>
      <c r="B36">
        <v>22.1749858759426</v>
      </c>
      <c r="C36">
        <v>10.233088381850999</v>
      </c>
      <c r="D36" s="11" t="s">
        <v>179</v>
      </c>
      <c r="F36" s="8" t="str">
        <f t="shared" si="0"/>
        <v>New "Load.m2_trf_5286817a" bus1="82029275286817.1.2.3.4" phases=3 conn=Wye model=3 kv=0.380 kw=22,1749858759426 kvar=10,233088381851 daily="CURVA" status=variable vmaxpu=1.5 vminpu=0.92</v>
      </c>
      <c r="G36" t="s">
        <v>290</v>
      </c>
      <c r="H36" t="s">
        <v>303</v>
      </c>
      <c r="I36" s="5" t="str">
        <f t="shared" si="1"/>
        <v>m2_trf_5286817a</v>
      </c>
      <c r="J36" t="s">
        <v>291</v>
      </c>
      <c r="K36" t="s">
        <v>292</v>
      </c>
      <c r="L36" s="13" t="str">
        <f t="shared" si="2"/>
        <v>82029275286817</v>
      </c>
      <c r="M36" t="s">
        <v>293</v>
      </c>
      <c r="N36" t="s">
        <v>294</v>
      </c>
      <c r="O36" t="s">
        <v>295</v>
      </c>
      <c r="P36" t="s">
        <v>296</v>
      </c>
      <c r="Q36" t="s">
        <v>297</v>
      </c>
      <c r="R36" t="s">
        <v>298</v>
      </c>
      <c r="S36" s="5">
        <f t="shared" si="3"/>
        <v>22.1749858759426</v>
      </c>
      <c r="T36" t="s">
        <v>299</v>
      </c>
      <c r="U36" s="5">
        <f t="shared" si="4"/>
        <v>10.233088381850999</v>
      </c>
      <c r="V36" t="s">
        <v>448</v>
      </c>
      <c r="W36" t="s">
        <v>300</v>
      </c>
      <c r="X36" t="s">
        <v>301</v>
      </c>
      <c r="Y36" t="s">
        <v>302</v>
      </c>
    </row>
    <row r="37" spans="1:25" x14ac:dyDescent="0.25">
      <c r="A37" t="s">
        <v>36</v>
      </c>
      <c r="B37">
        <v>14.141650285511499</v>
      </c>
      <c r="C37">
        <v>6.5098211802530699</v>
      </c>
      <c r="D37" s="11" t="s">
        <v>180</v>
      </c>
      <c r="F37" s="8" t="str">
        <f t="shared" si="0"/>
        <v>New "Load.m2_trf_5286818a" bus1="82028855286818.1.2.3.4" phases=3 conn=Wye model=3 kv=0.380 kw=14,1416502855115 kvar=6,50982118025307 daily="CURVA" status=variable vmaxpu=1.5 vminpu=0.92</v>
      </c>
      <c r="G37" t="s">
        <v>290</v>
      </c>
      <c r="H37" t="s">
        <v>303</v>
      </c>
      <c r="I37" s="5" t="str">
        <f t="shared" si="1"/>
        <v>m2_trf_5286818a</v>
      </c>
      <c r="J37" t="s">
        <v>291</v>
      </c>
      <c r="K37" t="s">
        <v>292</v>
      </c>
      <c r="L37" s="13" t="str">
        <f t="shared" si="2"/>
        <v>82028855286818</v>
      </c>
      <c r="M37" t="s">
        <v>293</v>
      </c>
      <c r="N37" t="s">
        <v>294</v>
      </c>
      <c r="O37" t="s">
        <v>295</v>
      </c>
      <c r="P37" t="s">
        <v>296</v>
      </c>
      <c r="Q37" t="s">
        <v>297</v>
      </c>
      <c r="R37" t="s">
        <v>298</v>
      </c>
      <c r="S37" s="5">
        <f t="shared" si="3"/>
        <v>14.141650285511499</v>
      </c>
      <c r="T37" t="s">
        <v>299</v>
      </c>
      <c r="U37" s="5">
        <f t="shared" si="4"/>
        <v>6.5098211802530699</v>
      </c>
      <c r="V37" t="s">
        <v>448</v>
      </c>
      <c r="W37" t="s">
        <v>300</v>
      </c>
      <c r="X37" t="s">
        <v>301</v>
      </c>
      <c r="Y37" t="s">
        <v>302</v>
      </c>
    </row>
    <row r="38" spans="1:25" x14ac:dyDescent="0.25">
      <c r="A38" t="s">
        <v>37</v>
      </c>
      <c r="B38">
        <v>37.721840218449302</v>
      </c>
      <c r="C38">
        <v>17.5073414719628</v>
      </c>
      <c r="D38" s="11" t="s">
        <v>181</v>
      </c>
      <c r="F38" s="8" t="str">
        <f t="shared" si="0"/>
        <v>New "Load.m2_trf_5286819a" bus1="82027135286819.1.2.3.4" phases=3 conn=Wye model=3 kv=0.380 kw=37,7218402184493 kvar=17,5073414719628 daily="CURVA" status=variable vmaxpu=1.5 vminpu=0.92</v>
      </c>
      <c r="G38" t="s">
        <v>290</v>
      </c>
      <c r="H38" t="s">
        <v>303</v>
      </c>
      <c r="I38" s="5" t="str">
        <f t="shared" si="1"/>
        <v>m2_trf_5286819a</v>
      </c>
      <c r="J38" t="s">
        <v>291</v>
      </c>
      <c r="K38" t="s">
        <v>292</v>
      </c>
      <c r="L38" s="13" t="str">
        <f t="shared" si="2"/>
        <v>82027135286819</v>
      </c>
      <c r="M38" t="s">
        <v>293</v>
      </c>
      <c r="N38" t="s">
        <v>294</v>
      </c>
      <c r="O38" t="s">
        <v>295</v>
      </c>
      <c r="P38" t="s">
        <v>296</v>
      </c>
      <c r="Q38" t="s">
        <v>297</v>
      </c>
      <c r="R38" t="s">
        <v>298</v>
      </c>
      <c r="S38" s="5">
        <f t="shared" si="3"/>
        <v>37.721840218449302</v>
      </c>
      <c r="T38" t="s">
        <v>299</v>
      </c>
      <c r="U38" s="5">
        <f t="shared" si="4"/>
        <v>17.5073414719628</v>
      </c>
      <c r="V38" t="s">
        <v>448</v>
      </c>
      <c r="W38" t="s">
        <v>300</v>
      </c>
      <c r="X38" t="s">
        <v>301</v>
      </c>
      <c r="Y38" t="s">
        <v>302</v>
      </c>
    </row>
    <row r="39" spans="1:25" x14ac:dyDescent="0.25">
      <c r="A39" t="s">
        <v>38</v>
      </c>
      <c r="B39">
        <v>25.325004493287398</v>
      </c>
      <c r="C39">
        <v>11.6695843017872</v>
      </c>
      <c r="D39" s="11" t="s">
        <v>182</v>
      </c>
      <c r="F39" s="8" t="str">
        <f t="shared" si="0"/>
        <v>New "Load.m2_trf_5286820a" bus1="82026625286820.1.2.3.4" phases=3 conn=Wye model=3 kv=0.380 kw=25,3250044932874 kvar=11,6695843017872 daily="CURVA" status=variable vmaxpu=1.5 vminpu=0.92</v>
      </c>
      <c r="G39" t="s">
        <v>290</v>
      </c>
      <c r="H39" t="s">
        <v>303</v>
      </c>
      <c r="I39" s="5" t="str">
        <f t="shared" si="1"/>
        <v>m2_trf_5286820a</v>
      </c>
      <c r="J39" t="s">
        <v>291</v>
      </c>
      <c r="K39" t="s">
        <v>292</v>
      </c>
      <c r="L39" s="13" t="str">
        <f t="shared" si="2"/>
        <v>82026625286820</v>
      </c>
      <c r="M39" t="s">
        <v>293</v>
      </c>
      <c r="N39" t="s">
        <v>294</v>
      </c>
      <c r="O39" t="s">
        <v>295</v>
      </c>
      <c r="P39" t="s">
        <v>296</v>
      </c>
      <c r="Q39" t="s">
        <v>297</v>
      </c>
      <c r="R39" t="s">
        <v>298</v>
      </c>
      <c r="S39" s="5">
        <f t="shared" si="3"/>
        <v>25.325004493287398</v>
      </c>
      <c r="T39" t="s">
        <v>299</v>
      </c>
      <c r="U39" s="5">
        <f t="shared" si="4"/>
        <v>11.6695843017872</v>
      </c>
      <c r="V39" t="s">
        <v>448</v>
      </c>
      <c r="W39" t="s">
        <v>300</v>
      </c>
      <c r="X39" t="s">
        <v>301</v>
      </c>
      <c r="Y39" t="s">
        <v>302</v>
      </c>
    </row>
    <row r="40" spans="1:25" x14ac:dyDescent="0.25">
      <c r="A40" t="s">
        <v>39</v>
      </c>
      <c r="B40">
        <v>50.507524455555902</v>
      </c>
      <c r="C40">
        <v>23.617834925150301</v>
      </c>
      <c r="D40" s="11" t="s">
        <v>183</v>
      </c>
      <c r="F40" s="8" t="str">
        <f t="shared" si="0"/>
        <v>New "Load.m2_trf_5286821a" bus1="82025745286821.1.2.3.4" phases=3 conn=Wye model=3 kv=0.380 kw=50,5075244555559 kvar=23,6178349251503 daily="CURVA" status=variable vmaxpu=1.5 vminpu=0.92</v>
      </c>
      <c r="G40" t="s">
        <v>290</v>
      </c>
      <c r="H40" t="s">
        <v>303</v>
      </c>
      <c r="I40" s="5" t="str">
        <f t="shared" si="1"/>
        <v>m2_trf_5286821a</v>
      </c>
      <c r="J40" t="s">
        <v>291</v>
      </c>
      <c r="K40" t="s">
        <v>292</v>
      </c>
      <c r="L40" s="13" t="str">
        <f t="shared" si="2"/>
        <v>82025745286821</v>
      </c>
      <c r="M40" t="s">
        <v>293</v>
      </c>
      <c r="N40" t="s">
        <v>294</v>
      </c>
      <c r="O40" t="s">
        <v>295</v>
      </c>
      <c r="P40" t="s">
        <v>296</v>
      </c>
      <c r="Q40" t="s">
        <v>297</v>
      </c>
      <c r="R40" t="s">
        <v>298</v>
      </c>
      <c r="S40" s="5">
        <f t="shared" si="3"/>
        <v>50.507524455555902</v>
      </c>
      <c r="T40" t="s">
        <v>299</v>
      </c>
      <c r="U40" s="5">
        <f t="shared" si="4"/>
        <v>23.617834925150301</v>
      </c>
      <c r="V40" t="s">
        <v>448</v>
      </c>
      <c r="W40" t="s">
        <v>300</v>
      </c>
      <c r="X40" t="s">
        <v>301</v>
      </c>
      <c r="Y40" t="s">
        <v>302</v>
      </c>
    </row>
    <row r="41" spans="1:25" x14ac:dyDescent="0.25">
      <c r="A41" t="s">
        <v>40</v>
      </c>
      <c r="B41">
        <v>27.4438807906939</v>
      </c>
      <c r="C41">
        <v>13.123739451200301</v>
      </c>
      <c r="D41" s="11" t="s">
        <v>184</v>
      </c>
      <c r="F41" s="8" t="str">
        <f t="shared" si="0"/>
        <v>New "Load.m2_trf_5286828a" bus1="82042655286828.1.2.3.4" phases=3 conn=Wye model=3 kv=0.380 kw=27,4438807906939 kvar=13,1237394512003 daily="CURVA" status=variable vmaxpu=1.5 vminpu=0.92</v>
      </c>
      <c r="G41" t="s">
        <v>290</v>
      </c>
      <c r="H41" t="s">
        <v>303</v>
      </c>
      <c r="I41" s="5" t="str">
        <f t="shared" si="1"/>
        <v>m2_trf_5286828a</v>
      </c>
      <c r="J41" t="s">
        <v>291</v>
      </c>
      <c r="K41" t="s">
        <v>292</v>
      </c>
      <c r="L41" s="13" t="str">
        <f t="shared" si="2"/>
        <v>82042655286828</v>
      </c>
      <c r="M41" t="s">
        <v>293</v>
      </c>
      <c r="N41" t="s">
        <v>294</v>
      </c>
      <c r="O41" t="s">
        <v>295</v>
      </c>
      <c r="P41" t="s">
        <v>296</v>
      </c>
      <c r="Q41" t="s">
        <v>297</v>
      </c>
      <c r="R41" t="s">
        <v>298</v>
      </c>
      <c r="S41" s="5">
        <f t="shared" si="3"/>
        <v>27.4438807906939</v>
      </c>
      <c r="T41" t="s">
        <v>299</v>
      </c>
      <c r="U41" s="5">
        <f t="shared" si="4"/>
        <v>13.123739451200301</v>
      </c>
      <c r="V41" t="s">
        <v>448</v>
      </c>
      <c r="W41" t="s">
        <v>300</v>
      </c>
      <c r="X41" t="s">
        <v>301</v>
      </c>
      <c r="Y41" t="s">
        <v>302</v>
      </c>
    </row>
    <row r="42" spans="1:25" x14ac:dyDescent="0.25">
      <c r="A42" t="s">
        <v>41</v>
      </c>
      <c r="B42">
        <v>15.555257711882</v>
      </c>
      <c r="C42">
        <v>7.2732127483837603</v>
      </c>
      <c r="D42" s="11" t="s">
        <v>185</v>
      </c>
      <c r="F42" s="8" t="str">
        <f t="shared" si="0"/>
        <v>New "Load.m2_trf_5286829a" bus1="81490995286829.1.2.3.4" phases=3 conn=Wye model=3 kv=0.380 kw=15,555257711882 kvar=7,27321274838376 daily="CURVA" status=variable vmaxpu=1.5 vminpu=0.92</v>
      </c>
      <c r="G42" t="s">
        <v>290</v>
      </c>
      <c r="H42" t="s">
        <v>303</v>
      </c>
      <c r="I42" s="5" t="str">
        <f t="shared" si="1"/>
        <v>m2_trf_5286829a</v>
      </c>
      <c r="J42" t="s">
        <v>291</v>
      </c>
      <c r="K42" t="s">
        <v>292</v>
      </c>
      <c r="L42" s="13" t="str">
        <f t="shared" si="2"/>
        <v>81490995286829</v>
      </c>
      <c r="M42" t="s">
        <v>293</v>
      </c>
      <c r="N42" t="s">
        <v>294</v>
      </c>
      <c r="O42" t="s">
        <v>295</v>
      </c>
      <c r="P42" t="s">
        <v>296</v>
      </c>
      <c r="Q42" t="s">
        <v>297</v>
      </c>
      <c r="R42" t="s">
        <v>298</v>
      </c>
      <c r="S42" s="5">
        <f t="shared" si="3"/>
        <v>15.555257711882</v>
      </c>
      <c r="T42" t="s">
        <v>299</v>
      </c>
      <c r="U42" s="5">
        <f t="shared" si="4"/>
        <v>7.2732127483837603</v>
      </c>
      <c r="V42" t="s">
        <v>448</v>
      </c>
      <c r="W42" t="s">
        <v>300</v>
      </c>
      <c r="X42" t="s">
        <v>301</v>
      </c>
      <c r="Y42" t="s">
        <v>302</v>
      </c>
    </row>
    <row r="43" spans="1:25" x14ac:dyDescent="0.25">
      <c r="A43" t="s">
        <v>42</v>
      </c>
      <c r="B43">
        <v>32.872570102692599</v>
      </c>
      <c r="C43">
        <v>15.610987814360501</v>
      </c>
      <c r="D43" s="11" t="s">
        <v>186</v>
      </c>
      <c r="F43" s="8" t="str">
        <f t="shared" si="0"/>
        <v>New "Load.m2_trf_5286830a" bus1="81460505286830.1.2.3.4" phases=3 conn=Wye model=3 kv=0.380 kw=32,8725701026926 kvar=15,6109878143605 daily="CURVA" status=variable vmaxpu=1.5 vminpu=0.92</v>
      </c>
      <c r="G43" t="s">
        <v>290</v>
      </c>
      <c r="H43" t="s">
        <v>303</v>
      </c>
      <c r="I43" s="5" t="str">
        <f t="shared" si="1"/>
        <v>m2_trf_5286830a</v>
      </c>
      <c r="J43" t="s">
        <v>291</v>
      </c>
      <c r="K43" t="s">
        <v>292</v>
      </c>
      <c r="L43" s="13" t="str">
        <f t="shared" si="2"/>
        <v>81460505286830</v>
      </c>
      <c r="M43" t="s">
        <v>293</v>
      </c>
      <c r="N43" t="s">
        <v>294</v>
      </c>
      <c r="O43" t="s">
        <v>295</v>
      </c>
      <c r="P43" t="s">
        <v>296</v>
      </c>
      <c r="Q43" t="s">
        <v>297</v>
      </c>
      <c r="R43" t="s">
        <v>298</v>
      </c>
      <c r="S43" s="5">
        <f t="shared" si="3"/>
        <v>32.872570102692599</v>
      </c>
      <c r="T43" t="s">
        <v>299</v>
      </c>
      <c r="U43" s="5">
        <f t="shared" si="4"/>
        <v>15.610987814360501</v>
      </c>
      <c r="V43" t="s">
        <v>448</v>
      </c>
      <c r="W43" t="s">
        <v>300</v>
      </c>
      <c r="X43" t="s">
        <v>301</v>
      </c>
      <c r="Y43" t="s">
        <v>302</v>
      </c>
    </row>
    <row r="44" spans="1:25" x14ac:dyDescent="0.25">
      <c r="A44" t="s">
        <v>43</v>
      </c>
      <c r="B44">
        <v>27.3081814129911</v>
      </c>
      <c r="C44">
        <v>12.750994461654001</v>
      </c>
      <c r="D44" s="11" t="s">
        <v>187</v>
      </c>
      <c r="F44" s="8" t="str">
        <f t="shared" si="0"/>
        <v>New "Load.m2_trf_5286831a" bus1="82043025286831.1.2.3.4" phases=3 conn=Wye model=3 kv=0.380 kw=27,3081814129911 kvar=12,750994461654 daily="CURVA" status=variable vmaxpu=1.5 vminpu=0.92</v>
      </c>
      <c r="G44" t="s">
        <v>290</v>
      </c>
      <c r="H44" t="s">
        <v>303</v>
      </c>
      <c r="I44" s="5" t="str">
        <f t="shared" si="1"/>
        <v>m2_trf_5286831a</v>
      </c>
      <c r="J44" t="s">
        <v>291</v>
      </c>
      <c r="K44" t="s">
        <v>292</v>
      </c>
      <c r="L44" s="13" t="str">
        <f t="shared" si="2"/>
        <v>82043025286831</v>
      </c>
      <c r="M44" t="s">
        <v>293</v>
      </c>
      <c r="N44" t="s">
        <v>294</v>
      </c>
      <c r="O44" t="s">
        <v>295</v>
      </c>
      <c r="P44" t="s">
        <v>296</v>
      </c>
      <c r="Q44" t="s">
        <v>297</v>
      </c>
      <c r="R44" t="s">
        <v>298</v>
      </c>
      <c r="S44" s="5">
        <f t="shared" si="3"/>
        <v>27.3081814129911</v>
      </c>
      <c r="T44" t="s">
        <v>299</v>
      </c>
      <c r="U44" s="5">
        <f t="shared" si="4"/>
        <v>12.750994461654001</v>
      </c>
      <c r="V44" t="s">
        <v>448</v>
      </c>
      <c r="W44" t="s">
        <v>300</v>
      </c>
      <c r="X44" t="s">
        <v>301</v>
      </c>
      <c r="Y44" t="s">
        <v>302</v>
      </c>
    </row>
    <row r="45" spans="1:25" x14ac:dyDescent="0.25">
      <c r="A45" t="s">
        <v>44</v>
      </c>
      <c r="B45">
        <v>22.566962698899701</v>
      </c>
      <c r="C45">
        <v>10.4444875162967</v>
      </c>
      <c r="D45" s="11" t="s">
        <v>188</v>
      </c>
      <c r="F45" s="8" t="str">
        <f t="shared" si="0"/>
        <v>New "Load.m2_trf_5286832a" bus1="82042575286832.1.2.3.4" phases=3 conn=Wye model=3 kv=0.380 kw=22,5669626988997 kvar=10,4444875162967 daily="CURVA" status=variable vmaxpu=1.5 vminpu=0.92</v>
      </c>
      <c r="G45" t="s">
        <v>290</v>
      </c>
      <c r="H45" t="s">
        <v>303</v>
      </c>
      <c r="I45" s="5" t="str">
        <f t="shared" si="1"/>
        <v>m2_trf_5286832a</v>
      </c>
      <c r="J45" t="s">
        <v>291</v>
      </c>
      <c r="K45" t="s">
        <v>292</v>
      </c>
      <c r="L45" s="13" t="str">
        <f t="shared" si="2"/>
        <v>82042575286832</v>
      </c>
      <c r="M45" t="s">
        <v>293</v>
      </c>
      <c r="N45" t="s">
        <v>294</v>
      </c>
      <c r="O45" t="s">
        <v>295</v>
      </c>
      <c r="P45" t="s">
        <v>296</v>
      </c>
      <c r="Q45" t="s">
        <v>297</v>
      </c>
      <c r="R45" t="s">
        <v>298</v>
      </c>
      <c r="S45" s="5">
        <f t="shared" si="3"/>
        <v>22.566962698899701</v>
      </c>
      <c r="T45" t="s">
        <v>299</v>
      </c>
      <c r="U45" s="5">
        <f t="shared" si="4"/>
        <v>10.4444875162967</v>
      </c>
      <c r="V45" t="s">
        <v>448</v>
      </c>
      <c r="W45" t="s">
        <v>300</v>
      </c>
      <c r="X45" t="s">
        <v>301</v>
      </c>
      <c r="Y45" t="s">
        <v>302</v>
      </c>
    </row>
    <row r="46" spans="1:25" x14ac:dyDescent="0.25">
      <c r="A46" t="s">
        <v>45</v>
      </c>
      <c r="B46">
        <v>29.885910047247599</v>
      </c>
      <c r="C46">
        <v>13.7929545784931</v>
      </c>
      <c r="D46" s="11" t="s">
        <v>189</v>
      </c>
      <c r="F46" s="8" t="str">
        <f t="shared" si="0"/>
        <v>New "Load.m2_trf_5286833a" bus1="82041995286833.1.2.3.4" phases=3 conn=Wye model=3 kv=0.380 kw=29,8859100472476 kvar=13,7929545784931 daily="CURVA" status=variable vmaxpu=1.5 vminpu=0.92</v>
      </c>
      <c r="G46" t="s">
        <v>290</v>
      </c>
      <c r="H46" t="s">
        <v>303</v>
      </c>
      <c r="I46" s="5" t="str">
        <f t="shared" si="1"/>
        <v>m2_trf_5286833a</v>
      </c>
      <c r="J46" t="s">
        <v>291</v>
      </c>
      <c r="K46" t="s">
        <v>292</v>
      </c>
      <c r="L46" s="13" t="str">
        <f t="shared" si="2"/>
        <v>82041995286833</v>
      </c>
      <c r="M46" t="s">
        <v>293</v>
      </c>
      <c r="N46" t="s">
        <v>294</v>
      </c>
      <c r="O46" t="s">
        <v>295</v>
      </c>
      <c r="P46" t="s">
        <v>296</v>
      </c>
      <c r="Q46" t="s">
        <v>297</v>
      </c>
      <c r="R46" t="s">
        <v>298</v>
      </c>
      <c r="S46" s="5">
        <f t="shared" si="3"/>
        <v>29.885910047247599</v>
      </c>
      <c r="T46" t="s">
        <v>299</v>
      </c>
      <c r="U46" s="5">
        <f t="shared" si="4"/>
        <v>13.7929545784931</v>
      </c>
      <c r="V46" t="s">
        <v>448</v>
      </c>
      <c r="W46" t="s">
        <v>300</v>
      </c>
      <c r="X46" t="s">
        <v>301</v>
      </c>
      <c r="Y46" t="s">
        <v>302</v>
      </c>
    </row>
    <row r="47" spans="1:25" x14ac:dyDescent="0.25">
      <c r="A47" t="s">
        <v>46</v>
      </c>
      <c r="B47">
        <v>37.235694780361598</v>
      </c>
      <c r="C47">
        <v>17.4042840750115</v>
      </c>
      <c r="D47" s="11" t="s">
        <v>190</v>
      </c>
      <c r="F47" s="8" t="str">
        <f t="shared" si="0"/>
        <v>New "Load.m2_trf_5286834a" bus1="82038095286834.1.2.3.4" phases=3 conn=Wye model=3 kv=0.380 kw=37,2356947803616 kvar=17,4042840750115 daily="CURVA" status=variable vmaxpu=1.5 vminpu=0.92</v>
      </c>
      <c r="G47" t="s">
        <v>290</v>
      </c>
      <c r="H47" t="s">
        <v>303</v>
      </c>
      <c r="I47" s="5" t="str">
        <f t="shared" si="1"/>
        <v>m2_trf_5286834a</v>
      </c>
      <c r="J47" t="s">
        <v>291</v>
      </c>
      <c r="K47" t="s">
        <v>292</v>
      </c>
      <c r="L47" s="13" t="str">
        <f t="shared" si="2"/>
        <v>82038095286834</v>
      </c>
      <c r="M47" t="s">
        <v>293</v>
      </c>
      <c r="N47" t="s">
        <v>294</v>
      </c>
      <c r="O47" t="s">
        <v>295</v>
      </c>
      <c r="P47" t="s">
        <v>296</v>
      </c>
      <c r="Q47" t="s">
        <v>297</v>
      </c>
      <c r="R47" t="s">
        <v>298</v>
      </c>
      <c r="S47" s="5">
        <f t="shared" si="3"/>
        <v>37.235694780361598</v>
      </c>
      <c r="T47" t="s">
        <v>299</v>
      </c>
      <c r="U47" s="5">
        <f t="shared" si="4"/>
        <v>17.4042840750115</v>
      </c>
      <c r="V47" t="s">
        <v>448</v>
      </c>
      <c r="W47" t="s">
        <v>300</v>
      </c>
      <c r="X47" t="s">
        <v>301</v>
      </c>
      <c r="Y47" t="s">
        <v>302</v>
      </c>
    </row>
    <row r="48" spans="1:25" x14ac:dyDescent="0.25">
      <c r="A48" t="s">
        <v>47</v>
      </c>
      <c r="B48">
        <v>31.1131256356819</v>
      </c>
      <c r="C48">
        <v>14.442020650085301</v>
      </c>
      <c r="D48" s="11" t="s">
        <v>191</v>
      </c>
      <c r="F48" s="8" t="str">
        <f t="shared" si="0"/>
        <v>New "Load.m2_trf_5286835a" bus1="82038115286835.1.2.3.4" phases=3 conn=Wye model=3 kv=0.380 kw=31,1131256356819 kvar=14,4420206500853 daily="CURVA" status=variable vmaxpu=1.5 vminpu=0.92</v>
      </c>
      <c r="G48" t="s">
        <v>290</v>
      </c>
      <c r="H48" t="s">
        <v>303</v>
      </c>
      <c r="I48" s="5" t="str">
        <f t="shared" si="1"/>
        <v>m2_trf_5286835a</v>
      </c>
      <c r="J48" t="s">
        <v>291</v>
      </c>
      <c r="K48" t="s">
        <v>292</v>
      </c>
      <c r="L48" s="13" t="str">
        <f t="shared" si="2"/>
        <v>82038115286835</v>
      </c>
      <c r="M48" t="s">
        <v>293</v>
      </c>
      <c r="N48" t="s">
        <v>294</v>
      </c>
      <c r="O48" t="s">
        <v>295</v>
      </c>
      <c r="P48" t="s">
        <v>296</v>
      </c>
      <c r="Q48" t="s">
        <v>297</v>
      </c>
      <c r="R48" t="s">
        <v>298</v>
      </c>
      <c r="S48" s="5">
        <f t="shared" si="3"/>
        <v>31.1131256356819</v>
      </c>
      <c r="T48" t="s">
        <v>299</v>
      </c>
      <c r="U48" s="5">
        <f t="shared" si="4"/>
        <v>14.442020650085301</v>
      </c>
      <c r="V48" t="s">
        <v>448</v>
      </c>
      <c r="W48" t="s">
        <v>300</v>
      </c>
      <c r="X48" t="s">
        <v>301</v>
      </c>
      <c r="Y48" t="s">
        <v>302</v>
      </c>
    </row>
    <row r="49" spans="1:25" x14ac:dyDescent="0.25">
      <c r="A49" t="s">
        <v>48</v>
      </c>
      <c r="B49">
        <v>19.879349973185199</v>
      </c>
      <c r="C49">
        <v>9.1886116300596399</v>
      </c>
      <c r="D49" s="11" t="s">
        <v>192</v>
      </c>
      <c r="F49" s="8" t="str">
        <f t="shared" si="0"/>
        <v>New "Load.m2_trf_5286836a" bus1="82041105286836.1.2.3.4" phases=3 conn=Wye model=3 kv=0.380 kw=19,8793499731852 kvar=9,18861163005964 daily="CURVA" status=variable vmaxpu=1.5 vminpu=0.92</v>
      </c>
      <c r="G49" t="s">
        <v>290</v>
      </c>
      <c r="H49" t="s">
        <v>303</v>
      </c>
      <c r="I49" s="5" t="str">
        <f t="shared" si="1"/>
        <v>m2_trf_5286836a</v>
      </c>
      <c r="J49" t="s">
        <v>291</v>
      </c>
      <c r="K49" t="s">
        <v>292</v>
      </c>
      <c r="L49" s="13" t="str">
        <f t="shared" si="2"/>
        <v>82041105286836</v>
      </c>
      <c r="M49" t="s">
        <v>293</v>
      </c>
      <c r="N49" t="s">
        <v>294</v>
      </c>
      <c r="O49" t="s">
        <v>295</v>
      </c>
      <c r="P49" t="s">
        <v>296</v>
      </c>
      <c r="Q49" t="s">
        <v>297</v>
      </c>
      <c r="R49" t="s">
        <v>298</v>
      </c>
      <c r="S49" s="5">
        <f t="shared" si="3"/>
        <v>19.879349973185199</v>
      </c>
      <c r="T49" t="s">
        <v>299</v>
      </c>
      <c r="U49" s="5">
        <f t="shared" si="4"/>
        <v>9.1886116300596399</v>
      </c>
      <c r="V49" t="s">
        <v>448</v>
      </c>
      <c r="W49" t="s">
        <v>300</v>
      </c>
      <c r="X49" t="s">
        <v>301</v>
      </c>
      <c r="Y49" t="s">
        <v>302</v>
      </c>
    </row>
    <row r="50" spans="1:25" x14ac:dyDescent="0.25">
      <c r="A50" t="s">
        <v>49</v>
      </c>
      <c r="B50">
        <v>10.9527022257711</v>
      </c>
      <c r="C50">
        <v>5.1147095109001697</v>
      </c>
      <c r="D50" s="11" t="s">
        <v>193</v>
      </c>
      <c r="F50" s="8" t="str">
        <f t="shared" si="0"/>
        <v>New "Load.m2_trf_5286837a" bus1="82041215286837.1.2.3.4" phases=3 conn=Wye model=3 kv=0.380 kw=10,9527022257711 kvar=5,11470951090017 daily="CURVA" status=variable vmaxpu=1.5 vminpu=0.92</v>
      </c>
      <c r="G50" t="s">
        <v>290</v>
      </c>
      <c r="H50" t="s">
        <v>303</v>
      </c>
      <c r="I50" s="5" t="str">
        <f t="shared" si="1"/>
        <v>m2_trf_5286837a</v>
      </c>
      <c r="J50" t="s">
        <v>291</v>
      </c>
      <c r="K50" t="s">
        <v>292</v>
      </c>
      <c r="L50" s="13" t="str">
        <f t="shared" si="2"/>
        <v>82041215286837</v>
      </c>
      <c r="M50" t="s">
        <v>293</v>
      </c>
      <c r="N50" t="s">
        <v>294</v>
      </c>
      <c r="O50" t="s">
        <v>295</v>
      </c>
      <c r="P50" t="s">
        <v>296</v>
      </c>
      <c r="Q50" t="s">
        <v>297</v>
      </c>
      <c r="R50" t="s">
        <v>298</v>
      </c>
      <c r="S50" s="5">
        <f t="shared" si="3"/>
        <v>10.9527022257711</v>
      </c>
      <c r="T50" t="s">
        <v>299</v>
      </c>
      <c r="U50" s="5">
        <f t="shared" si="4"/>
        <v>5.1147095109001697</v>
      </c>
      <c r="V50" t="s">
        <v>448</v>
      </c>
      <c r="W50" t="s">
        <v>300</v>
      </c>
      <c r="X50" t="s">
        <v>301</v>
      </c>
      <c r="Y50" t="s">
        <v>302</v>
      </c>
    </row>
    <row r="51" spans="1:25" x14ac:dyDescent="0.25">
      <c r="A51" t="s">
        <v>50</v>
      </c>
      <c r="B51">
        <v>20.956367283014899</v>
      </c>
      <c r="C51">
        <v>9.7108420338541492</v>
      </c>
      <c r="D51" s="11" t="s">
        <v>194</v>
      </c>
      <c r="F51" s="8" t="str">
        <f t="shared" si="0"/>
        <v>New "Load.m2_trf_5286838a" bus1="82041905286838.1.2.3.4" phases=3 conn=Wye model=3 kv=0.380 kw=20,9563672830149 kvar=9,71084203385415 daily="CURVA" status=variable vmaxpu=1.5 vminpu=0.92</v>
      </c>
      <c r="G51" t="s">
        <v>290</v>
      </c>
      <c r="H51" t="s">
        <v>303</v>
      </c>
      <c r="I51" s="5" t="str">
        <f t="shared" si="1"/>
        <v>m2_trf_5286838a</v>
      </c>
      <c r="J51" t="s">
        <v>291</v>
      </c>
      <c r="K51" t="s">
        <v>292</v>
      </c>
      <c r="L51" s="13" t="str">
        <f t="shared" si="2"/>
        <v>82041905286838</v>
      </c>
      <c r="M51" t="s">
        <v>293</v>
      </c>
      <c r="N51" t="s">
        <v>294</v>
      </c>
      <c r="O51" t="s">
        <v>295</v>
      </c>
      <c r="P51" t="s">
        <v>296</v>
      </c>
      <c r="Q51" t="s">
        <v>297</v>
      </c>
      <c r="R51" t="s">
        <v>298</v>
      </c>
      <c r="S51" s="5">
        <f t="shared" si="3"/>
        <v>20.956367283014899</v>
      </c>
      <c r="T51" t="s">
        <v>299</v>
      </c>
      <c r="U51" s="5">
        <f t="shared" si="4"/>
        <v>9.7108420338541492</v>
      </c>
      <c r="V51" t="s">
        <v>448</v>
      </c>
      <c r="W51" t="s">
        <v>300</v>
      </c>
      <c r="X51" t="s">
        <v>301</v>
      </c>
      <c r="Y51" t="s">
        <v>302</v>
      </c>
    </row>
    <row r="52" spans="1:25" x14ac:dyDescent="0.25">
      <c r="A52" t="s">
        <v>51</v>
      </c>
      <c r="B52">
        <v>30.3075499326564</v>
      </c>
      <c r="C52">
        <v>14.1215043837281</v>
      </c>
      <c r="D52" s="11" t="s">
        <v>195</v>
      </c>
      <c r="F52" s="8" t="str">
        <f t="shared" si="0"/>
        <v>New "Load.m2_trf_5286839a" bus1="82038825286839.1.2.3.4" phases=3 conn=Wye model=3 kv=0.380 kw=30,3075499326564 kvar=14,1215043837281 daily="CURVA" status=variable vmaxpu=1.5 vminpu=0.92</v>
      </c>
      <c r="G52" t="s">
        <v>290</v>
      </c>
      <c r="H52" t="s">
        <v>303</v>
      </c>
      <c r="I52" s="5" t="str">
        <f t="shared" si="1"/>
        <v>m2_trf_5286839a</v>
      </c>
      <c r="J52" t="s">
        <v>291</v>
      </c>
      <c r="K52" t="s">
        <v>292</v>
      </c>
      <c r="L52" s="13" t="str">
        <f t="shared" si="2"/>
        <v>82038825286839</v>
      </c>
      <c r="M52" t="s">
        <v>293</v>
      </c>
      <c r="N52" t="s">
        <v>294</v>
      </c>
      <c r="O52" t="s">
        <v>295</v>
      </c>
      <c r="P52" t="s">
        <v>296</v>
      </c>
      <c r="Q52" t="s">
        <v>297</v>
      </c>
      <c r="R52" t="s">
        <v>298</v>
      </c>
      <c r="S52" s="5">
        <f t="shared" si="3"/>
        <v>30.3075499326564</v>
      </c>
      <c r="T52" t="s">
        <v>299</v>
      </c>
      <c r="U52" s="5">
        <f t="shared" si="4"/>
        <v>14.1215043837281</v>
      </c>
      <c r="V52" t="s">
        <v>448</v>
      </c>
      <c r="W52" t="s">
        <v>300</v>
      </c>
      <c r="X52" t="s">
        <v>301</v>
      </c>
      <c r="Y52" t="s">
        <v>302</v>
      </c>
    </row>
    <row r="53" spans="1:25" x14ac:dyDescent="0.25">
      <c r="A53" t="s">
        <v>52</v>
      </c>
      <c r="B53">
        <v>43.203926889161202</v>
      </c>
      <c r="C53">
        <v>20.238919320695398</v>
      </c>
      <c r="D53" s="11" t="s">
        <v>196</v>
      </c>
      <c r="F53" s="8" t="str">
        <f t="shared" si="0"/>
        <v>New "Load.m2_trf_5286840a" bus1="82037555286840.1.2.3.4" phases=3 conn=Wye model=3 kv=0.380 kw=43,2039268891612 kvar=20,2389193206954 daily="CURVA" status=variable vmaxpu=1.5 vminpu=0.92</v>
      </c>
      <c r="G53" t="s">
        <v>290</v>
      </c>
      <c r="H53" t="s">
        <v>303</v>
      </c>
      <c r="I53" s="5" t="str">
        <f t="shared" si="1"/>
        <v>m2_trf_5286840a</v>
      </c>
      <c r="J53" t="s">
        <v>291</v>
      </c>
      <c r="K53" t="s">
        <v>292</v>
      </c>
      <c r="L53" s="13" t="str">
        <f t="shared" si="2"/>
        <v>82037555286840</v>
      </c>
      <c r="M53" t="s">
        <v>293</v>
      </c>
      <c r="N53" t="s">
        <v>294</v>
      </c>
      <c r="O53" t="s">
        <v>295</v>
      </c>
      <c r="P53" t="s">
        <v>296</v>
      </c>
      <c r="Q53" t="s">
        <v>297</v>
      </c>
      <c r="R53" t="s">
        <v>298</v>
      </c>
      <c r="S53" s="5">
        <f t="shared" si="3"/>
        <v>43.203926889161202</v>
      </c>
      <c r="T53" t="s">
        <v>299</v>
      </c>
      <c r="U53" s="5">
        <f t="shared" si="4"/>
        <v>20.238919320695398</v>
      </c>
      <c r="V53" t="s">
        <v>448</v>
      </c>
      <c r="W53" t="s">
        <v>300</v>
      </c>
      <c r="X53" t="s">
        <v>301</v>
      </c>
      <c r="Y53" t="s">
        <v>302</v>
      </c>
    </row>
    <row r="54" spans="1:25" x14ac:dyDescent="0.25">
      <c r="A54" t="s">
        <v>53</v>
      </c>
      <c r="B54">
        <v>26.0398476374456</v>
      </c>
      <c r="C54">
        <v>12.0593831641464</v>
      </c>
      <c r="D54" s="11" t="s">
        <v>197</v>
      </c>
      <c r="F54" s="8" t="str">
        <f t="shared" si="0"/>
        <v>New "Load.m2_trf_5286841a" bus1="82039455286841.1.2.3.4" phases=3 conn=Wye model=3 kv=0.380 kw=26,0398476374456 kvar=12,0593831641464 daily="CURVA" status=variable vmaxpu=1.5 vminpu=0.92</v>
      </c>
      <c r="G54" t="s">
        <v>290</v>
      </c>
      <c r="H54" t="s">
        <v>303</v>
      </c>
      <c r="I54" s="5" t="str">
        <f t="shared" si="1"/>
        <v>m2_trf_5286841a</v>
      </c>
      <c r="J54" t="s">
        <v>291</v>
      </c>
      <c r="K54" t="s">
        <v>292</v>
      </c>
      <c r="L54" s="13" t="str">
        <f t="shared" si="2"/>
        <v>82039455286841</v>
      </c>
      <c r="M54" t="s">
        <v>293</v>
      </c>
      <c r="N54" t="s">
        <v>294</v>
      </c>
      <c r="O54" t="s">
        <v>295</v>
      </c>
      <c r="P54" t="s">
        <v>296</v>
      </c>
      <c r="Q54" t="s">
        <v>297</v>
      </c>
      <c r="R54" t="s">
        <v>298</v>
      </c>
      <c r="S54" s="5">
        <f t="shared" si="3"/>
        <v>26.0398476374456</v>
      </c>
      <c r="T54" t="s">
        <v>299</v>
      </c>
      <c r="U54" s="5">
        <f t="shared" si="4"/>
        <v>12.0593831641464</v>
      </c>
      <c r="V54" t="s">
        <v>448</v>
      </c>
      <c r="W54" t="s">
        <v>300</v>
      </c>
      <c r="X54" t="s">
        <v>301</v>
      </c>
      <c r="Y54" t="s">
        <v>302</v>
      </c>
    </row>
    <row r="55" spans="1:25" x14ac:dyDescent="0.25">
      <c r="A55" t="s">
        <v>54</v>
      </c>
      <c r="B55">
        <v>28.0660381429383</v>
      </c>
      <c r="C55">
        <v>12.9758045486541</v>
      </c>
      <c r="D55" s="11" t="s">
        <v>198</v>
      </c>
      <c r="F55" s="8" t="str">
        <f t="shared" si="0"/>
        <v>New "Load.m2_trf_5286842a" bus1="82039695286842.1.2.3.4" phases=3 conn=Wye model=3 kv=0.380 kw=28,0660381429383 kvar=12,9758045486541 daily="CURVA" status=variable vmaxpu=1.5 vminpu=0.92</v>
      </c>
      <c r="G55" t="s">
        <v>290</v>
      </c>
      <c r="H55" t="s">
        <v>303</v>
      </c>
      <c r="I55" s="5" t="str">
        <f t="shared" si="1"/>
        <v>m2_trf_5286842a</v>
      </c>
      <c r="J55" t="s">
        <v>291</v>
      </c>
      <c r="K55" t="s">
        <v>292</v>
      </c>
      <c r="L55" s="13" t="str">
        <f t="shared" si="2"/>
        <v>82039695286842</v>
      </c>
      <c r="M55" t="s">
        <v>293</v>
      </c>
      <c r="N55" t="s">
        <v>294</v>
      </c>
      <c r="O55" t="s">
        <v>295</v>
      </c>
      <c r="P55" t="s">
        <v>296</v>
      </c>
      <c r="Q55" t="s">
        <v>297</v>
      </c>
      <c r="R55" t="s">
        <v>298</v>
      </c>
      <c r="S55" s="5">
        <f t="shared" si="3"/>
        <v>28.0660381429383</v>
      </c>
      <c r="T55" t="s">
        <v>299</v>
      </c>
      <c r="U55" s="5">
        <f t="shared" si="4"/>
        <v>12.9758045486541</v>
      </c>
      <c r="V55" t="s">
        <v>448</v>
      </c>
      <c r="W55" t="s">
        <v>300</v>
      </c>
      <c r="X55" t="s">
        <v>301</v>
      </c>
      <c r="Y55" t="s">
        <v>302</v>
      </c>
    </row>
    <row r="56" spans="1:25" x14ac:dyDescent="0.25">
      <c r="A56" t="s">
        <v>55</v>
      </c>
      <c r="B56">
        <v>21.403727235449999</v>
      </c>
      <c r="C56">
        <v>9.9455910554210902</v>
      </c>
      <c r="D56" s="11" t="s">
        <v>199</v>
      </c>
      <c r="F56" s="8" t="str">
        <f t="shared" si="0"/>
        <v>New "Load.m2_trf_5286843a" bus1="82042105286843.1.2.3.4" phases=3 conn=Wye model=3 kv=0.380 kw=21,40372723545 kvar=9,94559105542109 daily="CURVA" status=variable vmaxpu=1.5 vminpu=0.92</v>
      </c>
      <c r="G56" t="s">
        <v>290</v>
      </c>
      <c r="H56" t="s">
        <v>303</v>
      </c>
      <c r="I56" s="5" t="str">
        <f t="shared" si="1"/>
        <v>m2_trf_5286843a</v>
      </c>
      <c r="J56" t="s">
        <v>291</v>
      </c>
      <c r="K56" t="s">
        <v>292</v>
      </c>
      <c r="L56" s="13" t="str">
        <f t="shared" si="2"/>
        <v>82042105286843</v>
      </c>
      <c r="M56" t="s">
        <v>293</v>
      </c>
      <c r="N56" t="s">
        <v>294</v>
      </c>
      <c r="O56" t="s">
        <v>295</v>
      </c>
      <c r="P56" t="s">
        <v>296</v>
      </c>
      <c r="Q56" t="s">
        <v>297</v>
      </c>
      <c r="R56" t="s">
        <v>298</v>
      </c>
      <c r="S56" s="5">
        <f t="shared" si="3"/>
        <v>21.403727235449999</v>
      </c>
      <c r="T56" t="s">
        <v>299</v>
      </c>
      <c r="U56" s="5">
        <f t="shared" si="4"/>
        <v>9.9455910554210902</v>
      </c>
      <c r="V56" t="s">
        <v>448</v>
      </c>
      <c r="W56" t="s">
        <v>300</v>
      </c>
      <c r="X56" t="s">
        <v>301</v>
      </c>
      <c r="Y56" t="s">
        <v>302</v>
      </c>
    </row>
    <row r="57" spans="1:25" x14ac:dyDescent="0.25">
      <c r="A57" t="s">
        <v>56</v>
      </c>
      <c r="B57">
        <v>19.763154270693899</v>
      </c>
      <c r="C57">
        <v>9.1775845075930498</v>
      </c>
      <c r="D57" s="11" t="s">
        <v>200</v>
      </c>
      <c r="F57" s="8" t="str">
        <f t="shared" si="0"/>
        <v>New "Load.m2_trf_5286844a" bus1="82042165286844.1.2.3.4" phases=3 conn=Wye model=3 kv=0.380 kw=19,7631542706939 kvar=9,17758450759305 daily="CURVA" status=variable vmaxpu=1.5 vminpu=0.92</v>
      </c>
      <c r="G57" t="s">
        <v>290</v>
      </c>
      <c r="H57" t="s">
        <v>303</v>
      </c>
      <c r="I57" s="5" t="str">
        <f t="shared" si="1"/>
        <v>m2_trf_5286844a</v>
      </c>
      <c r="J57" t="s">
        <v>291</v>
      </c>
      <c r="K57" t="s">
        <v>292</v>
      </c>
      <c r="L57" s="13" t="str">
        <f t="shared" si="2"/>
        <v>82042165286844</v>
      </c>
      <c r="M57" t="s">
        <v>293</v>
      </c>
      <c r="N57" t="s">
        <v>294</v>
      </c>
      <c r="O57" t="s">
        <v>295</v>
      </c>
      <c r="P57" t="s">
        <v>296</v>
      </c>
      <c r="Q57" t="s">
        <v>297</v>
      </c>
      <c r="R57" t="s">
        <v>298</v>
      </c>
      <c r="S57" s="5">
        <f t="shared" si="3"/>
        <v>19.763154270693899</v>
      </c>
      <c r="T57" t="s">
        <v>299</v>
      </c>
      <c r="U57" s="5">
        <f t="shared" si="4"/>
        <v>9.1775845075930498</v>
      </c>
      <c r="V57" t="s">
        <v>448</v>
      </c>
      <c r="W57" t="s">
        <v>300</v>
      </c>
      <c r="X57" t="s">
        <v>301</v>
      </c>
      <c r="Y57" t="s">
        <v>302</v>
      </c>
    </row>
    <row r="58" spans="1:25" x14ac:dyDescent="0.25">
      <c r="A58" t="s">
        <v>57</v>
      </c>
      <c r="B58">
        <v>27.203480603139699</v>
      </c>
      <c r="C58">
        <v>12.5695074512755</v>
      </c>
      <c r="D58" s="11" t="s">
        <v>201</v>
      </c>
      <c r="F58" s="8" t="str">
        <f t="shared" si="0"/>
        <v>New "Load.m2_trf_5286845a" bus1="82042275286845.1.2.3.4" phases=3 conn=Wye model=3 kv=0.380 kw=27,2034806031397 kvar=12,5695074512755 daily="CURVA" status=variable vmaxpu=1.5 vminpu=0.92</v>
      </c>
      <c r="G58" t="s">
        <v>290</v>
      </c>
      <c r="H58" t="s">
        <v>303</v>
      </c>
      <c r="I58" s="5" t="str">
        <f t="shared" si="1"/>
        <v>m2_trf_5286845a</v>
      </c>
      <c r="J58" t="s">
        <v>291</v>
      </c>
      <c r="K58" t="s">
        <v>292</v>
      </c>
      <c r="L58" s="13" t="str">
        <f t="shared" si="2"/>
        <v>82042275286845</v>
      </c>
      <c r="M58" t="s">
        <v>293</v>
      </c>
      <c r="N58" t="s">
        <v>294</v>
      </c>
      <c r="O58" t="s">
        <v>295</v>
      </c>
      <c r="P58" t="s">
        <v>296</v>
      </c>
      <c r="Q58" t="s">
        <v>297</v>
      </c>
      <c r="R58" t="s">
        <v>298</v>
      </c>
      <c r="S58" s="5">
        <f t="shared" si="3"/>
        <v>27.203480603139699</v>
      </c>
      <c r="T58" t="s">
        <v>299</v>
      </c>
      <c r="U58" s="5">
        <f t="shared" si="4"/>
        <v>12.5695074512755</v>
      </c>
      <c r="V58" t="s">
        <v>448</v>
      </c>
      <c r="W58" t="s">
        <v>300</v>
      </c>
      <c r="X58" t="s">
        <v>301</v>
      </c>
      <c r="Y58" t="s">
        <v>302</v>
      </c>
    </row>
    <row r="59" spans="1:25" x14ac:dyDescent="0.25">
      <c r="A59" t="s">
        <v>58</v>
      </c>
      <c r="B59">
        <v>21.199211658175599</v>
      </c>
      <c r="C59">
        <v>9.7850924185531891</v>
      </c>
      <c r="D59" s="11" t="s">
        <v>202</v>
      </c>
      <c r="F59" s="8" t="str">
        <f t="shared" si="0"/>
        <v>New "Load.m2_trf_5286846a" bus1="82041545286846.1.2.3.4" phases=3 conn=Wye model=3 kv=0.380 kw=21,1992116581756 kvar=9,78509241855319 daily="CURVA" status=variable vmaxpu=1.5 vminpu=0.92</v>
      </c>
      <c r="G59" t="s">
        <v>290</v>
      </c>
      <c r="H59" t="s">
        <v>303</v>
      </c>
      <c r="I59" s="5" t="str">
        <f t="shared" si="1"/>
        <v>m2_trf_5286846a</v>
      </c>
      <c r="J59" t="s">
        <v>291</v>
      </c>
      <c r="K59" t="s">
        <v>292</v>
      </c>
      <c r="L59" s="13" t="str">
        <f t="shared" si="2"/>
        <v>82041545286846</v>
      </c>
      <c r="M59" t="s">
        <v>293</v>
      </c>
      <c r="N59" t="s">
        <v>294</v>
      </c>
      <c r="O59" t="s">
        <v>295</v>
      </c>
      <c r="P59" t="s">
        <v>296</v>
      </c>
      <c r="Q59" t="s">
        <v>297</v>
      </c>
      <c r="R59" t="s">
        <v>298</v>
      </c>
      <c r="S59" s="5">
        <f t="shared" si="3"/>
        <v>21.199211658175599</v>
      </c>
      <c r="T59" t="s">
        <v>299</v>
      </c>
      <c r="U59" s="5">
        <f t="shared" si="4"/>
        <v>9.7850924185531891</v>
      </c>
      <c r="V59" t="s">
        <v>448</v>
      </c>
      <c r="W59" t="s">
        <v>300</v>
      </c>
      <c r="X59" t="s">
        <v>301</v>
      </c>
      <c r="Y59" t="s">
        <v>302</v>
      </c>
    </row>
    <row r="60" spans="1:25" x14ac:dyDescent="0.25">
      <c r="A60" t="s">
        <v>59</v>
      </c>
      <c r="B60">
        <v>37.275511457303203</v>
      </c>
      <c r="C60">
        <v>17.2336383317155</v>
      </c>
      <c r="D60" s="11" t="s">
        <v>203</v>
      </c>
      <c r="F60" s="8" t="str">
        <f t="shared" si="0"/>
        <v>New "Load.m2_trf_5286857a" bus1="82062475286857.1.2.3.4" phases=3 conn=Wye model=3 kv=0.380 kw=37,2755114573032 kvar=17,2336383317155 daily="CURVA" status=variable vmaxpu=1.5 vminpu=0.92</v>
      </c>
      <c r="G60" t="s">
        <v>290</v>
      </c>
      <c r="H60" t="s">
        <v>303</v>
      </c>
      <c r="I60" s="5" t="str">
        <f t="shared" si="1"/>
        <v>m2_trf_5286857a</v>
      </c>
      <c r="J60" t="s">
        <v>291</v>
      </c>
      <c r="K60" t="s">
        <v>292</v>
      </c>
      <c r="L60" s="13" t="str">
        <f t="shared" si="2"/>
        <v>82062475286857</v>
      </c>
      <c r="M60" t="s">
        <v>293</v>
      </c>
      <c r="N60" t="s">
        <v>294</v>
      </c>
      <c r="O60" t="s">
        <v>295</v>
      </c>
      <c r="P60" t="s">
        <v>296</v>
      </c>
      <c r="Q60" t="s">
        <v>297</v>
      </c>
      <c r="R60" t="s">
        <v>298</v>
      </c>
      <c r="S60" s="5">
        <f t="shared" si="3"/>
        <v>37.275511457303203</v>
      </c>
      <c r="T60" t="s">
        <v>299</v>
      </c>
      <c r="U60" s="5">
        <f t="shared" si="4"/>
        <v>17.2336383317155</v>
      </c>
      <c r="V60" t="s">
        <v>448</v>
      </c>
      <c r="W60" t="s">
        <v>300</v>
      </c>
      <c r="X60" t="s">
        <v>301</v>
      </c>
      <c r="Y60" t="s">
        <v>302</v>
      </c>
    </row>
    <row r="61" spans="1:25" x14ac:dyDescent="0.25">
      <c r="A61" t="s">
        <v>60</v>
      </c>
      <c r="B61">
        <v>26.387854493759001</v>
      </c>
      <c r="C61">
        <v>12.2282333224281</v>
      </c>
      <c r="D61" s="11" t="s">
        <v>204</v>
      </c>
      <c r="F61" s="8" t="str">
        <f t="shared" si="0"/>
        <v>New "Load.m2_trf_5286858a" bus1="82064145286858.1.2.3.4" phases=3 conn=Wye model=3 kv=0.380 kw=26,387854493759 kvar=12,2282333224281 daily="CURVA" status=variable vmaxpu=1.5 vminpu=0.92</v>
      </c>
      <c r="G61" t="s">
        <v>290</v>
      </c>
      <c r="H61" t="s">
        <v>303</v>
      </c>
      <c r="I61" s="5" t="str">
        <f t="shared" si="1"/>
        <v>m2_trf_5286858a</v>
      </c>
      <c r="J61" t="s">
        <v>291</v>
      </c>
      <c r="K61" t="s">
        <v>292</v>
      </c>
      <c r="L61" s="13" t="str">
        <f t="shared" si="2"/>
        <v>82064145286858</v>
      </c>
      <c r="M61" t="s">
        <v>293</v>
      </c>
      <c r="N61" t="s">
        <v>294</v>
      </c>
      <c r="O61" t="s">
        <v>295</v>
      </c>
      <c r="P61" t="s">
        <v>296</v>
      </c>
      <c r="Q61" t="s">
        <v>297</v>
      </c>
      <c r="R61" t="s">
        <v>298</v>
      </c>
      <c r="S61" s="5">
        <f t="shared" si="3"/>
        <v>26.387854493759001</v>
      </c>
      <c r="T61" t="s">
        <v>299</v>
      </c>
      <c r="U61" s="5">
        <f t="shared" si="4"/>
        <v>12.2282333224281</v>
      </c>
      <c r="V61" t="s">
        <v>448</v>
      </c>
      <c r="W61" t="s">
        <v>300</v>
      </c>
      <c r="X61" t="s">
        <v>301</v>
      </c>
      <c r="Y61" t="s">
        <v>302</v>
      </c>
    </row>
    <row r="62" spans="1:25" x14ac:dyDescent="0.25">
      <c r="A62" t="s">
        <v>61</v>
      </c>
      <c r="B62">
        <v>17.720596902816101</v>
      </c>
      <c r="C62">
        <v>8.2259771030910898</v>
      </c>
      <c r="D62" s="11" t="s">
        <v>205</v>
      </c>
      <c r="F62" s="8" t="str">
        <f t="shared" si="0"/>
        <v>New "Load.m2_trf_5286860a" bus1="82065235286860.1.2.3.4" phases=3 conn=Wye model=3 kv=0.380 kw=17,7205969028161 kvar=8,22597710309109 daily="CURVA" status=variable vmaxpu=1.5 vminpu=0.92</v>
      </c>
      <c r="G62" t="s">
        <v>290</v>
      </c>
      <c r="H62" t="s">
        <v>303</v>
      </c>
      <c r="I62" s="5" t="str">
        <f t="shared" si="1"/>
        <v>m2_trf_5286860a</v>
      </c>
      <c r="J62" t="s">
        <v>291</v>
      </c>
      <c r="K62" t="s">
        <v>292</v>
      </c>
      <c r="L62" s="13" t="str">
        <f t="shared" si="2"/>
        <v>82065235286860</v>
      </c>
      <c r="M62" t="s">
        <v>293</v>
      </c>
      <c r="N62" t="s">
        <v>294</v>
      </c>
      <c r="O62" t="s">
        <v>295</v>
      </c>
      <c r="P62" t="s">
        <v>296</v>
      </c>
      <c r="Q62" t="s">
        <v>297</v>
      </c>
      <c r="R62" t="s">
        <v>298</v>
      </c>
      <c r="S62" s="5">
        <f t="shared" si="3"/>
        <v>17.720596902816101</v>
      </c>
      <c r="T62" t="s">
        <v>299</v>
      </c>
      <c r="U62" s="5">
        <f t="shared" si="4"/>
        <v>8.2259771030910898</v>
      </c>
      <c r="V62" t="s">
        <v>448</v>
      </c>
      <c r="W62" t="s">
        <v>300</v>
      </c>
      <c r="X62" t="s">
        <v>301</v>
      </c>
      <c r="Y62" t="s">
        <v>302</v>
      </c>
    </row>
    <row r="63" spans="1:25" x14ac:dyDescent="0.25">
      <c r="A63" t="s">
        <v>62</v>
      </c>
      <c r="B63">
        <v>20.870260230135699</v>
      </c>
      <c r="C63">
        <v>9.6590558720564097</v>
      </c>
      <c r="D63" s="11" t="s">
        <v>206</v>
      </c>
      <c r="F63" s="8" t="str">
        <f t="shared" si="0"/>
        <v>New "Load.m2_trf_5286861a" bus1="82064065286861.1.2.3.4" phases=3 conn=Wye model=3 kv=0.380 kw=20,8702602301357 kvar=9,65905587205641 daily="CURVA" status=variable vmaxpu=1.5 vminpu=0.92</v>
      </c>
      <c r="G63" t="s">
        <v>290</v>
      </c>
      <c r="H63" t="s">
        <v>303</v>
      </c>
      <c r="I63" s="5" t="str">
        <f t="shared" si="1"/>
        <v>m2_trf_5286861a</v>
      </c>
      <c r="J63" t="s">
        <v>291</v>
      </c>
      <c r="K63" t="s">
        <v>292</v>
      </c>
      <c r="L63" s="13" t="str">
        <f t="shared" si="2"/>
        <v>82064065286861</v>
      </c>
      <c r="M63" t="s">
        <v>293</v>
      </c>
      <c r="N63" t="s">
        <v>294</v>
      </c>
      <c r="O63" t="s">
        <v>295</v>
      </c>
      <c r="P63" t="s">
        <v>296</v>
      </c>
      <c r="Q63" t="s">
        <v>297</v>
      </c>
      <c r="R63" t="s">
        <v>298</v>
      </c>
      <c r="S63" s="5">
        <f t="shared" si="3"/>
        <v>20.870260230135699</v>
      </c>
      <c r="T63" t="s">
        <v>299</v>
      </c>
      <c r="U63" s="5">
        <f t="shared" si="4"/>
        <v>9.6590558720564097</v>
      </c>
      <c r="V63" t="s">
        <v>448</v>
      </c>
      <c r="W63" t="s">
        <v>300</v>
      </c>
      <c r="X63" t="s">
        <v>301</v>
      </c>
      <c r="Y63" t="s">
        <v>302</v>
      </c>
    </row>
    <row r="64" spans="1:25" x14ac:dyDescent="0.25">
      <c r="A64" t="s">
        <v>63</v>
      </c>
      <c r="B64">
        <v>29.876640685836499</v>
      </c>
      <c r="C64">
        <v>13.773051188521601</v>
      </c>
      <c r="D64" s="11" t="s">
        <v>207</v>
      </c>
      <c r="F64" s="8" t="str">
        <f t="shared" si="0"/>
        <v>New "Load.m2_trf_5286862a" bus1="82065285286862.1.2.3.4" phases=3 conn=Wye model=3 kv=0.380 kw=29,8766406858365 kvar=13,7730511885216 daily="CURVA" status=variable vmaxpu=1.5 vminpu=0.92</v>
      </c>
      <c r="G64" t="s">
        <v>290</v>
      </c>
      <c r="H64" t="s">
        <v>303</v>
      </c>
      <c r="I64" s="5" t="str">
        <f t="shared" si="1"/>
        <v>m2_trf_5286862a</v>
      </c>
      <c r="J64" t="s">
        <v>291</v>
      </c>
      <c r="K64" t="s">
        <v>292</v>
      </c>
      <c r="L64" s="13" t="str">
        <f t="shared" si="2"/>
        <v>82065285286862</v>
      </c>
      <c r="M64" t="s">
        <v>293</v>
      </c>
      <c r="N64" t="s">
        <v>294</v>
      </c>
      <c r="O64" t="s">
        <v>295</v>
      </c>
      <c r="P64" t="s">
        <v>296</v>
      </c>
      <c r="Q64" t="s">
        <v>297</v>
      </c>
      <c r="R64" t="s">
        <v>298</v>
      </c>
      <c r="S64" s="5">
        <f t="shared" si="3"/>
        <v>29.876640685836499</v>
      </c>
      <c r="T64" t="s">
        <v>299</v>
      </c>
      <c r="U64" s="5">
        <f t="shared" si="4"/>
        <v>13.773051188521601</v>
      </c>
      <c r="V64" t="s">
        <v>448</v>
      </c>
      <c r="W64" t="s">
        <v>300</v>
      </c>
      <c r="X64" t="s">
        <v>301</v>
      </c>
      <c r="Y64" t="s">
        <v>302</v>
      </c>
    </row>
    <row r="65" spans="1:25" x14ac:dyDescent="0.25">
      <c r="A65" t="s">
        <v>64</v>
      </c>
      <c r="B65">
        <v>23.576875408852398</v>
      </c>
      <c r="C65">
        <v>10.946608562816101</v>
      </c>
      <c r="D65" s="11" t="s">
        <v>208</v>
      </c>
      <c r="F65" s="8" t="str">
        <f t="shared" si="0"/>
        <v>New "Load.m2_trf_5286863a" bus1="82064825286863.1.2.3.4" phases=3 conn=Wye model=3 kv=0.380 kw=23,5768754088524 kvar=10,9466085628161 daily="CURVA" status=variable vmaxpu=1.5 vminpu=0.92</v>
      </c>
      <c r="G65" t="s">
        <v>290</v>
      </c>
      <c r="H65" t="s">
        <v>303</v>
      </c>
      <c r="I65" s="5" t="str">
        <f t="shared" si="1"/>
        <v>m2_trf_5286863a</v>
      </c>
      <c r="J65" t="s">
        <v>291</v>
      </c>
      <c r="K65" t="s">
        <v>292</v>
      </c>
      <c r="L65" s="13" t="str">
        <f t="shared" si="2"/>
        <v>82064825286863</v>
      </c>
      <c r="M65" t="s">
        <v>293</v>
      </c>
      <c r="N65" t="s">
        <v>294</v>
      </c>
      <c r="O65" t="s">
        <v>295</v>
      </c>
      <c r="P65" t="s">
        <v>296</v>
      </c>
      <c r="Q65" t="s">
        <v>297</v>
      </c>
      <c r="R65" t="s">
        <v>298</v>
      </c>
      <c r="S65" s="5">
        <f t="shared" si="3"/>
        <v>23.576875408852398</v>
      </c>
      <c r="T65" t="s">
        <v>299</v>
      </c>
      <c r="U65" s="5">
        <f t="shared" si="4"/>
        <v>10.946608562816101</v>
      </c>
      <c r="V65" t="s">
        <v>448</v>
      </c>
      <c r="W65" t="s">
        <v>300</v>
      </c>
      <c r="X65" t="s">
        <v>301</v>
      </c>
      <c r="Y65" t="s">
        <v>302</v>
      </c>
    </row>
    <row r="66" spans="1:25" x14ac:dyDescent="0.25">
      <c r="A66" t="s">
        <v>65</v>
      </c>
      <c r="B66">
        <v>23.947034753762601</v>
      </c>
      <c r="C66">
        <v>11.1073681934778</v>
      </c>
      <c r="D66" s="11" t="s">
        <v>209</v>
      </c>
      <c r="F66" s="8" t="str">
        <f t="shared" si="0"/>
        <v>New "Load.m2_trf_5286864a" bus1="82064425286864.1.2.3.4" phases=3 conn=Wye model=3 kv=0.380 kw=23,9470347537626 kvar=11,1073681934778 daily="CURVA" status=variable vmaxpu=1.5 vminpu=0.92</v>
      </c>
      <c r="G66" t="s">
        <v>290</v>
      </c>
      <c r="H66" t="s">
        <v>303</v>
      </c>
      <c r="I66" s="5" t="str">
        <f t="shared" si="1"/>
        <v>m2_trf_5286864a</v>
      </c>
      <c r="J66" t="s">
        <v>291</v>
      </c>
      <c r="K66" t="s">
        <v>292</v>
      </c>
      <c r="L66" s="13" t="str">
        <f t="shared" si="2"/>
        <v>82064425286864</v>
      </c>
      <c r="M66" t="s">
        <v>293</v>
      </c>
      <c r="N66" t="s">
        <v>294</v>
      </c>
      <c r="O66" t="s">
        <v>295</v>
      </c>
      <c r="P66" t="s">
        <v>296</v>
      </c>
      <c r="Q66" t="s">
        <v>297</v>
      </c>
      <c r="R66" t="s">
        <v>298</v>
      </c>
      <c r="S66" s="5">
        <f t="shared" si="3"/>
        <v>23.947034753762601</v>
      </c>
      <c r="T66" t="s">
        <v>299</v>
      </c>
      <c r="U66" s="5">
        <f t="shared" si="4"/>
        <v>11.1073681934778</v>
      </c>
      <c r="V66" t="s">
        <v>448</v>
      </c>
      <c r="W66" t="s">
        <v>300</v>
      </c>
      <c r="X66" t="s">
        <v>301</v>
      </c>
      <c r="Y66" t="s">
        <v>302</v>
      </c>
    </row>
    <row r="67" spans="1:25" x14ac:dyDescent="0.25">
      <c r="A67" t="s">
        <v>66</v>
      </c>
      <c r="B67">
        <v>23.483620377849199</v>
      </c>
      <c r="C67">
        <v>10.8617893412813</v>
      </c>
      <c r="D67" s="11" t="s">
        <v>210</v>
      </c>
      <c r="F67" s="8" t="str">
        <f t="shared" ref="F67:F130" si="5">_xlfn.CONCAT(G67:Y67)</f>
        <v>New "Load.m2_trf_5286865a" bus1="82065005286865.1.2.3.4" phases=3 conn=Wye model=3 kv=0.380 kw=23,4836203778492 kvar=10,8617893412813 daily="CURVA" status=variable vmaxpu=1.5 vminpu=0.92</v>
      </c>
      <c r="G67" t="s">
        <v>290</v>
      </c>
      <c r="H67" t="s">
        <v>303</v>
      </c>
      <c r="I67" s="5" t="str">
        <f t="shared" ref="I67:I130" si="6">A67</f>
        <v>m2_trf_5286865a</v>
      </c>
      <c r="J67" t="s">
        <v>291</v>
      </c>
      <c r="K67" t="s">
        <v>292</v>
      </c>
      <c r="L67" s="13" t="str">
        <f t="shared" ref="L67:L130" si="7">D67</f>
        <v>82065005286865</v>
      </c>
      <c r="M67" t="s">
        <v>293</v>
      </c>
      <c r="N67" t="s">
        <v>294</v>
      </c>
      <c r="O67" t="s">
        <v>295</v>
      </c>
      <c r="P67" t="s">
        <v>296</v>
      </c>
      <c r="Q67" t="s">
        <v>297</v>
      </c>
      <c r="R67" t="s">
        <v>298</v>
      </c>
      <c r="S67" s="5">
        <f t="shared" ref="S67:S130" si="8">B67</f>
        <v>23.483620377849199</v>
      </c>
      <c r="T67" t="s">
        <v>299</v>
      </c>
      <c r="U67" s="5">
        <f t="shared" ref="U67:U130" si="9">C67</f>
        <v>10.8617893412813</v>
      </c>
      <c r="V67" t="s">
        <v>448</v>
      </c>
      <c r="W67" t="s">
        <v>300</v>
      </c>
      <c r="X67" t="s">
        <v>301</v>
      </c>
      <c r="Y67" t="s">
        <v>302</v>
      </c>
    </row>
    <row r="68" spans="1:25" x14ac:dyDescent="0.25">
      <c r="A68" t="s">
        <v>67</v>
      </c>
      <c r="B68">
        <v>30.094186432098599</v>
      </c>
      <c r="C68">
        <v>13.918301075281301</v>
      </c>
      <c r="D68" s="11" t="s">
        <v>211</v>
      </c>
      <c r="F68" s="8" t="str">
        <f t="shared" si="5"/>
        <v>New "Load.m2_trf_5286866a" bus1="82063385286866.1.2.3.4" phases=3 conn=Wye model=3 kv=0.380 kw=30,0941864320986 kvar=13,9183010752813 daily="CURVA" status=variable vmaxpu=1.5 vminpu=0.92</v>
      </c>
      <c r="G68" t="s">
        <v>290</v>
      </c>
      <c r="H68" t="s">
        <v>303</v>
      </c>
      <c r="I68" s="5" t="str">
        <f t="shared" si="6"/>
        <v>m2_trf_5286866a</v>
      </c>
      <c r="J68" t="s">
        <v>291</v>
      </c>
      <c r="K68" t="s">
        <v>292</v>
      </c>
      <c r="L68" s="13" t="str">
        <f t="shared" si="7"/>
        <v>82063385286866</v>
      </c>
      <c r="M68" t="s">
        <v>293</v>
      </c>
      <c r="N68" t="s">
        <v>294</v>
      </c>
      <c r="O68" t="s">
        <v>295</v>
      </c>
      <c r="P68" t="s">
        <v>296</v>
      </c>
      <c r="Q68" t="s">
        <v>297</v>
      </c>
      <c r="R68" t="s">
        <v>298</v>
      </c>
      <c r="S68" s="5">
        <f t="shared" si="8"/>
        <v>30.094186432098599</v>
      </c>
      <c r="T68" t="s">
        <v>299</v>
      </c>
      <c r="U68" s="5">
        <f t="shared" si="9"/>
        <v>13.918301075281301</v>
      </c>
      <c r="V68" t="s">
        <v>448</v>
      </c>
      <c r="W68" t="s">
        <v>300</v>
      </c>
      <c r="X68" t="s">
        <v>301</v>
      </c>
      <c r="Y68" t="s">
        <v>302</v>
      </c>
    </row>
    <row r="69" spans="1:25" x14ac:dyDescent="0.25">
      <c r="A69" t="s">
        <v>68</v>
      </c>
      <c r="B69">
        <v>28.374845569145702</v>
      </c>
      <c r="C69">
        <v>13.021605265208001</v>
      </c>
      <c r="D69" s="11" t="s">
        <v>212</v>
      </c>
      <c r="F69" s="8" t="str">
        <f t="shared" si="5"/>
        <v>New "Load.m2_trf_5286867a" bus1="82044385286867.1.2.3.4" phases=3 conn=Wye model=3 kv=0.380 kw=28,3748455691457 kvar=13,021605265208 daily="CURVA" status=variable vmaxpu=1.5 vminpu=0.92</v>
      </c>
      <c r="G69" t="s">
        <v>290</v>
      </c>
      <c r="H69" t="s">
        <v>303</v>
      </c>
      <c r="I69" s="5" t="str">
        <f t="shared" si="6"/>
        <v>m2_trf_5286867a</v>
      </c>
      <c r="J69" t="s">
        <v>291</v>
      </c>
      <c r="K69" t="s">
        <v>292</v>
      </c>
      <c r="L69" s="13" t="str">
        <f t="shared" si="7"/>
        <v>82044385286867</v>
      </c>
      <c r="M69" t="s">
        <v>293</v>
      </c>
      <c r="N69" t="s">
        <v>294</v>
      </c>
      <c r="O69" t="s">
        <v>295</v>
      </c>
      <c r="P69" t="s">
        <v>296</v>
      </c>
      <c r="Q69" t="s">
        <v>297</v>
      </c>
      <c r="R69" t="s">
        <v>298</v>
      </c>
      <c r="S69" s="5">
        <f t="shared" si="8"/>
        <v>28.374845569145702</v>
      </c>
      <c r="T69" t="s">
        <v>299</v>
      </c>
      <c r="U69" s="5">
        <f t="shared" si="9"/>
        <v>13.021605265208001</v>
      </c>
      <c r="V69" t="s">
        <v>448</v>
      </c>
      <c r="W69" t="s">
        <v>300</v>
      </c>
      <c r="X69" t="s">
        <v>301</v>
      </c>
      <c r="Y69" t="s">
        <v>302</v>
      </c>
    </row>
    <row r="70" spans="1:25" x14ac:dyDescent="0.25">
      <c r="A70" t="s">
        <v>69</v>
      </c>
      <c r="B70">
        <v>20.216396807258199</v>
      </c>
      <c r="C70">
        <v>9.3271187083251093</v>
      </c>
      <c r="D70" s="11" t="s">
        <v>213</v>
      </c>
      <c r="F70" s="8" t="str">
        <f t="shared" si="5"/>
        <v>New "Load.m2_trf_5286871a" bus1="82055725286871.1.2.3.4" phases=3 conn=Wye model=3 kv=0.380 kw=20,2163968072582 kvar=9,32711870832511 daily="CURVA" status=variable vmaxpu=1.5 vminpu=0.92</v>
      </c>
      <c r="G70" t="s">
        <v>290</v>
      </c>
      <c r="H70" t="s">
        <v>303</v>
      </c>
      <c r="I70" s="5" t="str">
        <f t="shared" si="6"/>
        <v>m2_trf_5286871a</v>
      </c>
      <c r="J70" t="s">
        <v>291</v>
      </c>
      <c r="K70" t="s">
        <v>292</v>
      </c>
      <c r="L70" s="13" t="str">
        <f t="shared" si="7"/>
        <v>82055725286871</v>
      </c>
      <c r="M70" t="s">
        <v>293</v>
      </c>
      <c r="N70" t="s">
        <v>294</v>
      </c>
      <c r="O70" t="s">
        <v>295</v>
      </c>
      <c r="P70" t="s">
        <v>296</v>
      </c>
      <c r="Q70" t="s">
        <v>297</v>
      </c>
      <c r="R70" t="s">
        <v>298</v>
      </c>
      <c r="S70" s="5">
        <f t="shared" si="8"/>
        <v>20.216396807258199</v>
      </c>
      <c r="T70" t="s">
        <v>299</v>
      </c>
      <c r="U70" s="5">
        <f t="shared" si="9"/>
        <v>9.3271187083251093</v>
      </c>
      <c r="V70" t="s">
        <v>448</v>
      </c>
      <c r="W70" t="s">
        <v>300</v>
      </c>
      <c r="X70" t="s">
        <v>301</v>
      </c>
      <c r="Y70" t="s">
        <v>302</v>
      </c>
    </row>
    <row r="71" spans="1:25" x14ac:dyDescent="0.25">
      <c r="A71" t="s">
        <v>70</v>
      </c>
      <c r="B71">
        <v>19.094797916054802</v>
      </c>
      <c r="C71">
        <v>8.6822961996878707</v>
      </c>
      <c r="D71" s="11" t="s">
        <v>214</v>
      </c>
      <c r="F71" s="8" t="str">
        <f t="shared" si="5"/>
        <v>New "Load.m2_trf_5286872a" bus1="82054825286872.1.2.3.4" phases=3 conn=Wye model=3 kv=0.380 kw=19,0947979160548 kvar=8,68229619968787 daily="CURVA" status=variable vmaxpu=1.5 vminpu=0.92</v>
      </c>
      <c r="G71" t="s">
        <v>290</v>
      </c>
      <c r="H71" t="s">
        <v>303</v>
      </c>
      <c r="I71" s="5" t="str">
        <f t="shared" si="6"/>
        <v>m2_trf_5286872a</v>
      </c>
      <c r="J71" t="s">
        <v>291</v>
      </c>
      <c r="K71" t="s">
        <v>292</v>
      </c>
      <c r="L71" s="13" t="str">
        <f t="shared" si="7"/>
        <v>82054825286872</v>
      </c>
      <c r="M71" t="s">
        <v>293</v>
      </c>
      <c r="N71" t="s">
        <v>294</v>
      </c>
      <c r="O71" t="s">
        <v>295</v>
      </c>
      <c r="P71" t="s">
        <v>296</v>
      </c>
      <c r="Q71" t="s">
        <v>297</v>
      </c>
      <c r="R71" t="s">
        <v>298</v>
      </c>
      <c r="S71" s="5">
        <f t="shared" si="8"/>
        <v>19.094797916054802</v>
      </c>
      <c r="T71" t="s">
        <v>299</v>
      </c>
      <c r="U71" s="5">
        <f t="shared" si="9"/>
        <v>8.6822961996878707</v>
      </c>
      <c r="V71" t="s">
        <v>448</v>
      </c>
      <c r="W71" t="s">
        <v>300</v>
      </c>
      <c r="X71" t="s">
        <v>301</v>
      </c>
      <c r="Y71" t="s">
        <v>302</v>
      </c>
    </row>
    <row r="72" spans="1:25" x14ac:dyDescent="0.25">
      <c r="A72" t="s">
        <v>71</v>
      </c>
      <c r="B72">
        <v>26.661214817333398</v>
      </c>
      <c r="C72">
        <v>12.365539425368</v>
      </c>
      <c r="D72" s="11" t="s">
        <v>215</v>
      </c>
      <c r="F72" s="8" t="str">
        <f t="shared" si="5"/>
        <v>New "Load.m2_trf_5286890a" bus1="82056915286890.1.2.3.4" phases=3 conn=Wye model=3 kv=0.380 kw=26,6612148173334 kvar=12,365539425368 daily="CURVA" status=variable vmaxpu=1.5 vminpu=0.92</v>
      </c>
      <c r="G72" t="s">
        <v>290</v>
      </c>
      <c r="H72" t="s">
        <v>303</v>
      </c>
      <c r="I72" s="5" t="str">
        <f t="shared" si="6"/>
        <v>m2_trf_5286890a</v>
      </c>
      <c r="J72" t="s">
        <v>291</v>
      </c>
      <c r="K72" t="s">
        <v>292</v>
      </c>
      <c r="L72" s="13" t="str">
        <f t="shared" si="7"/>
        <v>82056915286890</v>
      </c>
      <c r="M72" t="s">
        <v>293</v>
      </c>
      <c r="N72" t="s">
        <v>294</v>
      </c>
      <c r="O72" t="s">
        <v>295</v>
      </c>
      <c r="P72" t="s">
        <v>296</v>
      </c>
      <c r="Q72" t="s">
        <v>297</v>
      </c>
      <c r="R72" t="s">
        <v>298</v>
      </c>
      <c r="S72" s="5">
        <f t="shared" si="8"/>
        <v>26.661214817333398</v>
      </c>
      <c r="T72" t="s">
        <v>299</v>
      </c>
      <c r="U72" s="5">
        <f t="shared" si="9"/>
        <v>12.365539425368</v>
      </c>
      <c r="V72" t="s">
        <v>448</v>
      </c>
      <c r="W72" t="s">
        <v>300</v>
      </c>
      <c r="X72" t="s">
        <v>301</v>
      </c>
      <c r="Y72" t="s">
        <v>302</v>
      </c>
    </row>
    <row r="73" spans="1:25" x14ac:dyDescent="0.25">
      <c r="A73" t="s">
        <v>72</v>
      </c>
      <c r="B73">
        <v>26.481828218789399</v>
      </c>
      <c r="C73">
        <v>12.3154332729611</v>
      </c>
      <c r="D73" s="11" t="s">
        <v>216</v>
      </c>
      <c r="F73" s="8" t="str">
        <f t="shared" si="5"/>
        <v>New "Load.m2_trf_5286891a" bus1="82056385286891.1.2.3.4" phases=3 conn=Wye model=3 kv=0.380 kw=26,4818282187894 kvar=12,3154332729611 daily="CURVA" status=variable vmaxpu=1.5 vminpu=0.92</v>
      </c>
      <c r="G73" t="s">
        <v>290</v>
      </c>
      <c r="H73" t="s">
        <v>303</v>
      </c>
      <c r="I73" s="5" t="str">
        <f t="shared" si="6"/>
        <v>m2_trf_5286891a</v>
      </c>
      <c r="J73" t="s">
        <v>291</v>
      </c>
      <c r="K73" t="s">
        <v>292</v>
      </c>
      <c r="L73" s="13" t="str">
        <f t="shared" si="7"/>
        <v>82056385286891</v>
      </c>
      <c r="M73" t="s">
        <v>293</v>
      </c>
      <c r="N73" t="s">
        <v>294</v>
      </c>
      <c r="O73" t="s">
        <v>295</v>
      </c>
      <c r="P73" t="s">
        <v>296</v>
      </c>
      <c r="Q73" t="s">
        <v>297</v>
      </c>
      <c r="R73" t="s">
        <v>298</v>
      </c>
      <c r="S73" s="5">
        <f t="shared" si="8"/>
        <v>26.481828218789399</v>
      </c>
      <c r="T73" t="s">
        <v>299</v>
      </c>
      <c r="U73" s="5">
        <f t="shared" si="9"/>
        <v>12.3154332729611</v>
      </c>
      <c r="V73" t="s">
        <v>448</v>
      </c>
      <c r="W73" t="s">
        <v>300</v>
      </c>
      <c r="X73" t="s">
        <v>301</v>
      </c>
      <c r="Y73" t="s">
        <v>302</v>
      </c>
    </row>
    <row r="74" spans="1:25" x14ac:dyDescent="0.25">
      <c r="A74" t="s">
        <v>73</v>
      </c>
      <c r="B74">
        <v>29.505605655156</v>
      </c>
      <c r="C74">
        <v>13.6407017943999</v>
      </c>
      <c r="D74" s="11" t="s">
        <v>217</v>
      </c>
      <c r="F74" s="8" t="str">
        <f t="shared" si="5"/>
        <v>New "Load.m2_trf_5286914a" bus1="82053635286914.1.2.3.4" phases=3 conn=Wye model=3 kv=0.380 kw=29,505605655156 kvar=13,6407017943999 daily="CURVA" status=variable vmaxpu=1.5 vminpu=0.92</v>
      </c>
      <c r="G74" t="s">
        <v>290</v>
      </c>
      <c r="H74" t="s">
        <v>303</v>
      </c>
      <c r="I74" s="5" t="str">
        <f t="shared" si="6"/>
        <v>m2_trf_5286914a</v>
      </c>
      <c r="J74" t="s">
        <v>291</v>
      </c>
      <c r="K74" t="s">
        <v>292</v>
      </c>
      <c r="L74" s="13" t="str">
        <f t="shared" si="7"/>
        <v>82053635286914</v>
      </c>
      <c r="M74" t="s">
        <v>293</v>
      </c>
      <c r="N74" t="s">
        <v>294</v>
      </c>
      <c r="O74" t="s">
        <v>295</v>
      </c>
      <c r="P74" t="s">
        <v>296</v>
      </c>
      <c r="Q74" t="s">
        <v>297</v>
      </c>
      <c r="R74" t="s">
        <v>298</v>
      </c>
      <c r="S74" s="5">
        <f t="shared" si="8"/>
        <v>29.505605655156</v>
      </c>
      <c r="T74" t="s">
        <v>299</v>
      </c>
      <c r="U74" s="5">
        <f t="shared" si="9"/>
        <v>13.6407017943999</v>
      </c>
      <c r="V74" t="s">
        <v>448</v>
      </c>
      <c r="W74" t="s">
        <v>300</v>
      </c>
      <c r="X74" t="s">
        <v>301</v>
      </c>
      <c r="Y74" t="s">
        <v>302</v>
      </c>
    </row>
    <row r="75" spans="1:25" x14ac:dyDescent="0.25">
      <c r="A75" t="s">
        <v>74</v>
      </c>
      <c r="B75">
        <v>24.536243608053699</v>
      </c>
      <c r="C75">
        <v>11.2801916696158</v>
      </c>
      <c r="D75" s="11" t="s">
        <v>218</v>
      </c>
      <c r="F75" s="8" t="str">
        <f t="shared" si="5"/>
        <v>New "Load.m2_trf_5286915a" bus1="82054535286915.1.2.3.4" phases=3 conn=Wye model=3 kv=0.380 kw=24,5362436080537 kvar=11,2801916696158 daily="CURVA" status=variable vmaxpu=1.5 vminpu=0.92</v>
      </c>
      <c r="G75" t="s">
        <v>290</v>
      </c>
      <c r="H75" t="s">
        <v>303</v>
      </c>
      <c r="I75" s="5" t="str">
        <f t="shared" si="6"/>
        <v>m2_trf_5286915a</v>
      </c>
      <c r="J75" t="s">
        <v>291</v>
      </c>
      <c r="K75" t="s">
        <v>292</v>
      </c>
      <c r="L75" s="13" t="str">
        <f t="shared" si="7"/>
        <v>82054535286915</v>
      </c>
      <c r="M75" t="s">
        <v>293</v>
      </c>
      <c r="N75" t="s">
        <v>294</v>
      </c>
      <c r="O75" t="s">
        <v>295</v>
      </c>
      <c r="P75" t="s">
        <v>296</v>
      </c>
      <c r="Q75" t="s">
        <v>297</v>
      </c>
      <c r="R75" t="s">
        <v>298</v>
      </c>
      <c r="S75" s="5">
        <f t="shared" si="8"/>
        <v>24.536243608053699</v>
      </c>
      <c r="T75" t="s">
        <v>299</v>
      </c>
      <c r="U75" s="5">
        <f t="shared" si="9"/>
        <v>11.2801916696158</v>
      </c>
      <c r="V75" t="s">
        <v>448</v>
      </c>
      <c r="W75" t="s">
        <v>300</v>
      </c>
      <c r="X75" t="s">
        <v>301</v>
      </c>
      <c r="Y75" t="s">
        <v>302</v>
      </c>
    </row>
    <row r="76" spans="1:25" x14ac:dyDescent="0.25">
      <c r="A76" t="s">
        <v>75</v>
      </c>
      <c r="B76">
        <v>31.772184037099802</v>
      </c>
      <c r="C76">
        <v>14.613291481581999</v>
      </c>
      <c r="D76" s="11" t="s">
        <v>219</v>
      </c>
      <c r="F76" s="8" t="str">
        <f t="shared" si="5"/>
        <v>New "Load.m2_trf_5286916a" bus1="82054235286916.1.2.3.4" phases=3 conn=Wye model=3 kv=0.380 kw=31,7721840370998 kvar=14,613291481582 daily="CURVA" status=variable vmaxpu=1.5 vminpu=0.92</v>
      </c>
      <c r="G76" t="s">
        <v>290</v>
      </c>
      <c r="H76" t="s">
        <v>303</v>
      </c>
      <c r="I76" s="5" t="str">
        <f t="shared" si="6"/>
        <v>m2_trf_5286916a</v>
      </c>
      <c r="J76" t="s">
        <v>291</v>
      </c>
      <c r="K76" t="s">
        <v>292</v>
      </c>
      <c r="L76" s="13" t="str">
        <f t="shared" si="7"/>
        <v>82054235286916</v>
      </c>
      <c r="M76" t="s">
        <v>293</v>
      </c>
      <c r="N76" t="s">
        <v>294</v>
      </c>
      <c r="O76" t="s">
        <v>295</v>
      </c>
      <c r="P76" t="s">
        <v>296</v>
      </c>
      <c r="Q76" t="s">
        <v>297</v>
      </c>
      <c r="R76" t="s">
        <v>298</v>
      </c>
      <c r="S76" s="5">
        <f t="shared" si="8"/>
        <v>31.772184037099802</v>
      </c>
      <c r="T76" t="s">
        <v>299</v>
      </c>
      <c r="U76" s="5">
        <f t="shared" si="9"/>
        <v>14.613291481581999</v>
      </c>
      <c r="V76" t="s">
        <v>448</v>
      </c>
      <c r="W76" t="s">
        <v>300</v>
      </c>
      <c r="X76" t="s">
        <v>301</v>
      </c>
      <c r="Y76" t="s">
        <v>302</v>
      </c>
    </row>
    <row r="77" spans="1:25" x14ac:dyDescent="0.25">
      <c r="A77" t="s">
        <v>76</v>
      </c>
      <c r="B77">
        <v>47.267476900680698</v>
      </c>
      <c r="C77">
        <v>21.866009954224399</v>
      </c>
      <c r="D77" s="11" t="s">
        <v>220</v>
      </c>
      <c r="F77" s="8" t="str">
        <f t="shared" si="5"/>
        <v>New "Load.m2_trf_5286917a" bus1="82054305286917.1.2.3.4" phases=3 conn=Wye model=3 kv=0.380 kw=47,2674769006807 kvar=21,8660099542244 daily="CURVA" status=variable vmaxpu=1.5 vminpu=0.92</v>
      </c>
      <c r="G77" t="s">
        <v>290</v>
      </c>
      <c r="H77" t="s">
        <v>303</v>
      </c>
      <c r="I77" s="5" t="str">
        <f t="shared" si="6"/>
        <v>m2_trf_5286917a</v>
      </c>
      <c r="J77" t="s">
        <v>291</v>
      </c>
      <c r="K77" t="s">
        <v>292</v>
      </c>
      <c r="L77" s="13" t="str">
        <f t="shared" si="7"/>
        <v>82054305286917</v>
      </c>
      <c r="M77" t="s">
        <v>293</v>
      </c>
      <c r="N77" t="s">
        <v>294</v>
      </c>
      <c r="O77" t="s">
        <v>295</v>
      </c>
      <c r="P77" t="s">
        <v>296</v>
      </c>
      <c r="Q77" t="s">
        <v>297</v>
      </c>
      <c r="R77" t="s">
        <v>298</v>
      </c>
      <c r="S77" s="5">
        <f t="shared" si="8"/>
        <v>47.267476900680698</v>
      </c>
      <c r="T77" t="s">
        <v>299</v>
      </c>
      <c r="U77" s="5">
        <f t="shared" si="9"/>
        <v>21.866009954224399</v>
      </c>
      <c r="V77" t="s">
        <v>448</v>
      </c>
      <c r="W77" t="s">
        <v>300</v>
      </c>
      <c r="X77" t="s">
        <v>301</v>
      </c>
      <c r="Y77" t="s">
        <v>302</v>
      </c>
    </row>
    <row r="78" spans="1:25" x14ac:dyDescent="0.25">
      <c r="A78" t="s">
        <v>77</v>
      </c>
      <c r="B78">
        <v>40.433561318152201</v>
      </c>
      <c r="C78">
        <v>18.736685726762001</v>
      </c>
      <c r="D78" s="11" t="s">
        <v>221</v>
      </c>
      <c r="F78" s="8" t="str">
        <f t="shared" si="5"/>
        <v>New "Load.m2_trf_5286918a" bus1="82053975286918.1.2.3.4" phases=3 conn=Wye model=3 kv=0.380 kw=40,4335613181522 kvar=18,736685726762 daily="CURVA" status=variable vmaxpu=1.5 vminpu=0.92</v>
      </c>
      <c r="G78" t="s">
        <v>290</v>
      </c>
      <c r="H78" t="s">
        <v>303</v>
      </c>
      <c r="I78" s="5" t="str">
        <f t="shared" si="6"/>
        <v>m2_trf_5286918a</v>
      </c>
      <c r="J78" t="s">
        <v>291</v>
      </c>
      <c r="K78" t="s">
        <v>292</v>
      </c>
      <c r="L78" s="13" t="str">
        <f t="shared" si="7"/>
        <v>82053975286918</v>
      </c>
      <c r="M78" t="s">
        <v>293</v>
      </c>
      <c r="N78" t="s">
        <v>294</v>
      </c>
      <c r="O78" t="s">
        <v>295</v>
      </c>
      <c r="P78" t="s">
        <v>296</v>
      </c>
      <c r="Q78" t="s">
        <v>297</v>
      </c>
      <c r="R78" t="s">
        <v>298</v>
      </c>
      <c r="S78" s="5">
        <f t="shared" si="8"/>
        <v>40.433561318152201</v>
      </c>
      <c r="T78" t="s">
        <v>299</v>
      </c>
      <c r="U78" s="5">
        <f t="shared" si="9"/>
        <v>18.736685726762001</v>
      </c>
      <c r="V78" t="s">
        <v>448</v>
      </c>
      <c r="W78" t="s">
        <v>300</v>
      </c>
      <c r="X78" t="s">
        <v>301</v>
      </c>
      <c r="Y78" t="s">
        <v>302</v>
      </c>
    </row>
    <row r="79" spans="1:25" x14ac:dyDescent="0.25">
      <c r="A79" t="s">
        <v>78</v>
      </c>
      <c r="B79">
        <v>21.659498091589001</v>
      </c>
      <c r="C79">
        <v>10.0335137048975</v>
      </c>
      <c r="D79" s="11" t="s">
        <v>222</v>
      </c>
      <c r="F79" s="8" t="str">
        <f t="shared" si="5"/>
        <v>New "Load.m2_trf_5286919a" bus1="82060535286919.1.2.3.4" phases=3 conn=Wye model=3 kv=0.380 kw=21,659498091589 kvar=10,0335137048975 daily="CURVA" status=variable vmaxpu=1.5 vminpu=0.92</v>
      </c>
      <c r="G79" t="s">
        <v>290</v>
      </c>
      <c r="H79" t="s">
        <v>303</v>
      </c>
      <c r="I79" s="5" t="str">
        <f t="shared" si="6"/>
        <v>m2_trf_5286919a</v>
      </c>
      <c r="J79" t="s">
        <v>291</v>
      </c>
      <c r="K79" t="s">
        <v>292</v>
      </c>
      <c r="L79" s="13" t="str">
        <f t="shared" si="7"/>
        <v>82060535286919</v>
      </c>
      <c r="M79" t="s">
        <v>293</v>
      </c>
      <c r="N79" t="s">
        <v>294</v>
      </c>
      <c r="O79" t="s">
        <v>295</v>
      </c>
      <c r="P79" t="s">
        <v>296</v>
      </c>
      <c r="Q79" t="s">
        <v>297</v>
      </c>
      <c r="R79" t="s">
        <v>298</v>
      </c>
      <c r="S79" s="5">
        <f t="shared" si="8"/>
        <v>21.659498091589001</v>
      </c>
      <c r="T79" t="s">
        <v>299</v>
      </c>
      <c r="U79" s="5">
        <f t="shared" si="9"/>
        <v>10.0335137048975</v>
      </c>
      <c r="V79" t="s">
        <v>448</v>
      </c>
      <c r="W79" t="s">
        <v>300</v>
      </c>
      <c r="X79" t="s">
        <v>301</v>
      </c>
      <c r="Y79" t="s">
        <v>302</v>
      </c>
    </row>
    <row r="80" spans="1:25" x14ac:dyDescent="0.25">
      <c r="A80" t="s">
        <v>79</v>
      </c>
      <c r="B80">
        <v>24.135171073304999</v>
      </c>
      <c r="C80">
        <v>11.1526377416107</v>
      </c>
      <c r="D80" s="11" t="s">
        <v>223</v>
      </c>
      <c r="F80" s="8" t="str">
        <f t="shared" si="5"/>
        <v>New "Load.m2_trf_5286930a" bus1="82049375286930.1.2.3.4" phases=3 conn=Wye model=3 kv=0.380 kw=24,135171073305 kvar=11,1526377416107 daily="CURVA" status=variable vmaxpu=1.5 vminpu=0.92</v>
      </c>
      <c r="G80" t="s">
        <v>290</v>
      </c>
      <c r="H80" t="s">
        <v>303</v>
      </c>
      <c r="I80" s="5" t="str">
        <f t="shared" si="6"/>
        <v>m2_trf_5286930a</v>
      </c>
      <c r="J80" t="s">
        <v>291</v>
      </c>
      <c r="K80" t="s">
        <v>292</v>
      </c>
      <c r="L80" s="13" t="str">
        <f t="shared" si="7"/>
        <v>82049375286930</v>
      </c>
      <c r="M80" t="s">
        <v>293</v>
      </c>
      <c r="N80" t="s">
        <v>294</v>
      </c>
      <c r="O80" t="s">
        <v>295</v>
      </c>
      <c r="P80" t="s">
        <v>296</v>
      </c>
      <c r="Q80" t="s">
        <v>297</v>
      </c>
      <c r="R80" t="s">
        <v>298</v>
      </c>
      <c r="S80" s="5">
        <f t="shared" si="8"/>
        <v>24.135171073304999</v>
      </c>
      <c r="T80" t="s">
        <v>299</v>
      </c>
      <c r="U80" s="5">
        <f t="shared" si="9"/>
        <v>11.1526377416107</v>
      </c>
      <c r="V80" t="s">
        <v>448</v>
      </c>
      <c r="W80" t="s">
        <v>300</v>
      </c>
      <c r="X80" t="s">
        <v>301</v>
      </c>
      <c r="Y80" t="s">
        <v>302</v>
      </c>
    </row>
    <row r="81" spans="1:25" x14ac:dyDescent="0.25">
      <c r="A81" t="s">
        <v>80</v>
      </c>
      <c r="B81">
        <v>47.714376019962202</v>
      </c>
      <c r="C81">
        <v>21.839091454142899</v>
      </c>
      <c r="D81" s="11" t="s">
        <v>224</v>
      </c>
      <c r="F81" s="8" t="str">
        <f t="shared" si="5"/>
        <v>New "Load.m2_trf_5286931a" bus1="82049545286931.1.2.3.4" phases=3 conn=Wye model=3 kv=0.380 kw=47,7143760199622 kvar=21,8390914541429 daily="CURVA" status=variable vmaxpu=1.5 vminpu=0.92</v>
      </c>
      <c r="G81" t="s">
        <v>290</v>
      </c>
      <c r="H81" t="s">
        <v>303</v>
      </c>
      <c r="I81" s="5" t="str">
        <f t="shared" si="6"/>
        <v>m2_trf_5286931a</v>
      </c>
      <c r="J81" t="s">
        <v>291</v>
      </c>
      <c r="K81" t="s">
        <v>292</v>
      </c>
      <c r="L81" s="13" t="str">
        <f t="shared" si="7"/>
        <v>82049545286931</v>
      </c>
      <c r="M81" t="s">
        <v>293</v>
      </c>
      <c r="N81" t="s">
        <v>294</v>
      </c>
      <c r="O81" t="s">
        <v>295</v>
      </c>
      <c r="P81" t="s">
        <v>296</v>
      </c>
      <c r="Q81" t="s">
        <v>297</v>
      </c>
      <c r="R81" t="s">
        <v>298</v>
      </c>
      <c r="S81" s="5">
        <f t="shared" si="8"/>
        <v>47.714376019962202</v>
      </c>
      <c r="T81" t="s">
        <v>299</v>
      </c>
      <c r="U81" s="5">
        <f t="shared" si="9"/>
        <v>21.839091454142899</v>
      </c>
      <c r="V81" t="s">
        <v>448</v>
      </c>
      <c r="W81" t="s">
        <v>300</v>
      </c>
      <c r="X81" t="s">
        <v>301</v>
      </c>
      <c r="Y81" t="s">
        <v>302</v>
      </c>
    </row>
    <row r="82" spans="1:25" x14ac:dyDescent="0.25">
      <c r="A82" t="s">
        <v>81</v>
      </c>
      <c r="B82">
        <v>14.1914676815716</v>
      </c>
      <c r="C82">
        <v>6.6227663507549899</v>
      </c>
      <c r="D82" s="11" t="s">
        <v>225</v>
      </c>
      <c r="F82" s="8" t="str">
        <f t="shared" si="5"/>
        <v>New "Load.m2_trf_5286932a" bus1="82049765286932.1.2.3.4" phases=3 conn=Wye model=3 kv=0.380 kw=14,1914676815716 kvar=6,62276635075499 daily="CURVA" status=variable vmaxpu=1.5 vminpu=0.92</v>
      </c>
      <c r="G82" t="s">
        <v>290</v>
      </c>
      <c r="H82" t="s">
        <v>303</v>
      </c>
      <c r="I82" s="5" t="str">
        <f t="shared" si="6"/>
        <v>m2_trf_5286932a</v>
      </c>
      <c r="J82" t="s">
        <v>291</v>
      </c>
      <c r="K82" t="s">
        <v>292</v>
      </c>
      <c r="L82" s="13" t="str">
        <f t="shared" si="7"/>
        <v>82049765286932</v>
      </c>
      <c r="M82" t="s">
        <v>293</v>
      </c>
      <c r="N82" t="s">
        <v>294</v>
      </c>
      <c r="O82" t="s">
        <v>295</v>
      </c>
      <c r="P82" t="s">
        <v>296</v>
      </c>
      <c r="Q82" t="s">
        <v>297</v>
      </c>
      <c r="R82" t="s">
        <v>298</v>
      </c>
      <c r="S82" s="5">
        <f t="shared" si="8"/>
        <v>14.1914676815716</v>
      </c>
      <c r="T82" t="s">
        <v>299</v>
      </c>
      <c r="U82" s="5">
        <f t="shared" si="9"/>
        <v>6.6227663507549899</v>
      </c>
      <c r="V82" t="s">
        <v>448</v>
      </c>
      <c r="W82" t="s">
        <v>300</v>
      </c>
      <c r="X82" t="s">
        <v>301</v>
      </c>
      <c r="Y82" t="s">
        <v>302</v>
      </c>
    </row>
    <row r="83" spans="1:25" x14ac:dyDescent="0.25">
      <c r="A83" t="s">
        <v>82</v>
      </c>
      <c r="B83">
        <v>32.141826390608301</v>
      </c>
      <c r="C83">
        <v>14.870818703354599</v>
      </c>
      <c r="D83" s="11" t="s">
        <v>226</v>
      </c>
      <c r="F83" s="8" t="str">
        <f t="shared" si="5"/>
        <v>New "Load.m2_trf_5286933a" bus1="82049805286933.1.2.3.4" phases=3 conn=Wye model=3 kv=0.380 kw=32,1418263906083 kvar=14,8708187033546 daily="CURVA" status=variable vmaxpu=1.5 vminpu=0.92</v>
      </c>
      <c r="G83" t="s">
        <v>290</v>
      </c>
      <c r="H83" t="s">
        <v>303</v>
      </c>
      <c r="I83" s="5" t="str">
        <f t="shared" si="6"/>
        <v>m2_trf_5286933a</v>
      </c>
      <c r="J83" t="s">
        <v>291</v>
      </c>
      <c r="K83" t="s">
        <v>292</v>
      </c>
      <c r="L83" s="13" t="str">
        <f t="shared" si="7"/>
        <v>82049805286933</v>
      </c>
      <c r="M83" t="s">
        <v>293</v>
      </c>
      <c r="N83" t="s">
        <v>294</v>
      </c>
      <c r="O83" t="s">
        <v>295</v>
      </c>
      <c r="P83" t="s">
        <v>296</v>
      </c>
      <c r="Q83" t="s">
        <v>297</v>
      </c>
      <c r="R83" t="s">
        <v>298</v>
      </c>
      <c r="S83" s="5">
        <f t="shared" si="8"/>
        <v>32.141826390608301</v>
      </c>
      <c r="T83" t="s">
        <v>299</v>
      </c>
      <c r="U83" s="5">
        <f t="shared" si="9"/>
        <v>14.870818703354599</v>
      </c>
      <c r="V83" t="s">
        <v>448</v>
      </c>
      <c r="W83" t="s">
        <v>300</v>
      </c>
      <c r="X83" t="s">
        <v>301</v>
      </c>
      <c r="Y83" t="s">
        <v>302</v>
      </c>
    </row>
    <row r="84" spans="1:25" x14ac:dyDescent="0.25">
      <c r="A84" t="s">
        <v>83</v>
      </c>
      <c r="B84">
        <v>50.292403655096699</v>
      </c>
      <c r="C84">
        <v>23.518521316471801</v>
      </c>
      <c r="D84" s="11" t="s">
        <v>227</v>
      </c>
      <c r="F84" s="8" t="str">
        <f t="shared" si="5"/>
        <v>New "Load.m2_trf_5286934a" bus1="82049885286934.1.2.3.4" phases=3 conn=Wye model=3 kv=0.380 kw=50,2924036550967 kvar=23,5185213164718 daily="CURVA" status=variable vmaxpu=1.5 vminpu=0.92</v>
      </c>
      <c r="G84" t="s">
        <v>290</v>
      </c>
      <c r="H84" t="s">
        <v>303</v>
      </c>
      <c r="I84" s="5" t="str">
        <f t="shared" si="6"/>
        <v>m2_trf_5286934a</v>
      </c>
      <c r="J84" t="s">
        <v>291</v>
      </c>
      <c r="K84" t="s">
        <v>292</v>
      </c>
      <c r="L84" s="13" t="str">
        <f t="shared" si="7"/>
        <v>82049885286934</v>
      </c>
      <c r="M84" t="s">
        <v>293</v>
      </c>
      <c r="N84" t="s">
        <v>294</v>
      </c>
      <c r="O84" t="s">
        <v>295</v>
      </c>
      <c r="P84" t="s">
        <v>296</v>
      </c>
      <c r="Q84" t="s">
        <v>297</v>
      </c>
      <c r="R84" t="s">
        <v>298</v>
      </c>
      <c r="S84" s="5">
        <f t="shared" si="8"/>
        <v>50.292403655096699</v>
      </c>
      <c r="T84" t="s">
        <v>299</v>
      </c>
      <c r="U84" s="5">
        <f t="shared" si="9"/>
        <v>23.518521316471801</v>
      </c>
      <c r="V84" t="s">
        <v>448</v>
      </c>
      <c r="W84" t="s">
        <v>300</v>
      </c>
      <c r="X84" t="s">
        <v>301</v>
      </c>
      <c r="Y84" t="s">
        <v>302</v>
      </c>
    </row>
    <row r="85" spans="1:25" x14ac:dyDescent="0.25">
      <c r="A85" t="s">
        <v>84</v>
      </c>
      <c r="B85">
        <v>9.7983670716565499</v>
      </c>
      <c r="C85">
        <v>4.5182425620454696</v>
      </c>
      <c r="D85" s="11" t="s">
        <v>228</v>
      </c>
      <c r="F85" s="8" t="str">
        <f t="shared" si="5"/>
        <v>New "Load.m2_trf_5286935a" bus1="82050325286935.1.2.3.4" phases=3 conn=Wye model=3 kv=0.380 kw=9,79836707165655 kvar=4,51824256204547 daily="CURVA" status=variable vmaxpu=1.5 vminpu=0.92</v>
      </c>
      <c r="G85" t="s">
        <v>290</v>
      </c>
      <c r="H85" t="s">
        <v>303</v>
      </c>
      <c r="I85" s="5" t="str">
        <f t="shared" si="6"/>
        <v>m2_trf_5286935a</v>
      </c>
      <c r="J85" t="s">
        <v>291</v>
      </c>
      <c r="K85" t="s">
        <v>292</v>
      </c>
      <c r="L85" s="13" t="str">
        <f t="shared" si="7"/>
        <v>82050325286935</v>
      </c>
      <c r="M85" t="s">
        <v>293</v>
      </c>
      <c r="N85" t="s">
        <v>294</v>
      </c>
      <c r="O85" t="s">
        <v>295</v>
      </c>
      <c r="P85" t="s">
        <v>296</v>
      </c>
      <c r="Q85" t="s">
        <v>297</v>
      </c>
      <c r="R85" t="s">
        <v>298</v>
      </c>
      <c r="S85" s="5">
        <f t="shared" si="8"/>
        <v>9.7983670716565499</v>
      </c>
      <c r="T85" t="s">
        <v>299</v>
      </c>
      <c r="U85" s="5">
        <f t="shared" si="9"/>
        <v>4.5182425620454696</v>
      </c>
      <c r="V85" t="s">
        <v>448</v>
      </c>
      <c r="W85" t="s">
        <v>300</v>
      </c>
      <c r="X85" t="s">
        <v>301</v>
      </c>
      <c r="Y85" t="s">
        <v>302</v>
      </c>
    </row>
    <row r="86" spans="1:25" x14ac:dyDescent="0.25">
      <c r="A86" t="s">
        <v>85</v>
      </c>
      <c r="B86">
        <v>22.5849169808853</v>
      </c>
      <c r="C86">
        <v>10.308969455351299</v>
      </c>
      <c r="D86" s="11" t="s">
        <v>229</v>
      </c>
      <c r="F86" s="8" t="str">
        <f t="shared" si="5"/>
        <v>New "Load.m2_trf_5286936a" bus1="82049975286936.1.2.3.4" phases=3 conn=Wye model=3 kv=0.380 kw=22,5849169808853 kvar=10,3089694553513 daily="CURVA" status=variable vmaxpu=1.5 vminpu=0.92</v>
      </c>
      <c r="G86" t="s">
        <v>290</v>
      </c>
      <c r="H86" t="s">
        <v>303</v>
      </c>
      <c r="I86" s="5" t="str">
        <f t="shared" si="6"/>
        <v>m2_trf_5286936a</v>
      </c>
      <c r="J86" t="s">
        <v>291</v>
      </c>
      <c r="K86" t="s">
        <v>292</v>
      </c>
      <c r="L86" s="13" t="str">
        <f t="shared" si="7"/>
        <v>82049975286936</v>
      </c>
      <c r="M86" t="s">
        <v>293</v>
      </c>
      <c r="N86" t="s">
        <v>294</v>
      </c>
      <c r="O86" t="s">
        <v>295</v>
      </c>
      <c r="P86" t="s">
        <v>296</v>
      </c>
      <c r="Q86" t="s">
        <v>297</v>
      </c>
      <c r="R86" t="s">
        <v>298</v>
      </c>
      <c r="S86" s="5">
        <f t="shared" si="8"/>
        <v>22.5849169808853</v>
      </c>
      <c r="T86" t="s">
        <v>299</v>
      </c>
      <c r="U86" s="5">
        <f t="shared" si="9"/>
        <v>10.308969455351299</v>
      </c>
      <c r="V86" t="s">
        <v>448</v>
      </c>
      <c r="W86" t="s">
        <v>300</v>
      </c>
      <c r="X86" t="s">
        <v>301</v>
      </c>
      <c r="Y86" t="s">
        <v>302</v>
      </c>
    </row>
    <row r="87" spans="1:25" x14ac:dyDescent="0.25">
      <c r="A87" t="s">
        <v>86</v>
      </c>
      <c r="B87">
        <v>8.1989295004688998</v>
      </c>
      <c r="C87">
        <v>3.7786466840681001</v>
      </c>
      <c r="D87" s="11" t="s">
        <v>230</v>
      </c>
      <c r="F87" s="8" t="str">
        <f t="shared" si="5"/>
        <v>New "Load.m2_trf_5286937a" bus1="82050035286937.1.2.3.4" phases=3 conn=Wye model=3 kv=0.380 kw=8,1989295004689 kvar=3,7786466840681 daily="CURVA" status=variable vmaxpu=1.5 vminpu=0.92</v>
      </c>
      <c r="G87" t="s">
        <v>290</v>
      </c>
      <c r="H87" t="s">
        <v>303</v>
      </c>
      <c r="I87" s="5" t="str">
        <f t="shared" si="6"/>
        <v>m2_trf_5286937a</v>
      </c>
      <c r="J87" t="s">
        <v>291</v>
      </c>
      <c r="K87" t="s">
        <v>292</v>
      </c>
      <c r="L87" s="13" t="str">
        <f t="shared" si="7"/>
        <v>82050035286937</v>
      </c>
      <c r="M87" t="s">
        <v>293</v>
      </c>
      <c r="N87" t="s">
        <v>294</v>
      </c>
      <c r="O87" t="s">
        <v>295</v>
      </c>
      <c r="P87" t="s">
        <v>296</v>
      </c>
      <c r="Q87" t="s">
        <v>297</v>
      </c>
      <c r="R87" t="s">
        <v>298</v>
      </c>
      <c r="S87" s="5">
        <f t="shared" si="8"/>
        <v>8.1989295004688998</v>
      </c>
      <c r="T87" t="s">
        <v>299</v>
      </c>
      <c r="U87" s="5">
        <f t="shared" si="9"/>
        <v>3.7786466840681001</v>
      </c>
      <c r="V87" t="s">
        <v>448</v>
      </c>
      <c r="W87" t="s">
        <v>300</v>
      </c>
      <c r="X87" t="s">
        <v>301</v>
      </c>
      <c r="Y87" t="s">
        <v>302</v>
      </c>
    </row>
    <row r="88" spans="1:25" x14ac:dyDescent="0.25">
      <c r="A88" t="s">
        <v>87</v>
      </c>
      <c r="B88">
        <v>29.188145603349401</v>
      </c>
      <c r="C88">
        <v>13.533767187386699</v>
      </c>
      <c r="D88" s="11" t="s">
        <v>231</v>
      </c>
      <c r="F88" s="8" t="str">
        <f t="shared" si="5"/>
        <v>New "Load.m2_trf_5286938a" bus1="82050465286938.1.2.3.4" phases=3 conn=Wye model=3 kv=0.380 kw=29,1881456033494 kvar=13,5337671873867 daily="CURVA" status=variable vmaxpu=1.5 vminpu=0.92</v>
      </c>
      <c r="G88" t="s">
        <v>290</v>
      </c>
      <c r="H88" t="s">
        <v>303</v>
      </c>
      <c r="I88" s="5" t="str">
        <f t="shared" si="6"/>
        <v>m2_trf_5286938a</v>
      </c>
      <c r="J88" t="s">
        <v>291</v>
      </c>
      <c r="K88" t="s">
        <v>292</v>
      </c>
      <c r="L88" s="13" t="str">
        <f t="shared" si="7"/>
        <v>82050465286938</v>
      </c>
      <c r="M88" t="s">
        <v>293</v>
      </c>
      <c r="N88" t="s">
        <v>294</v>
      </c>
      <c r="O88" t="s">
        <v>295</v>
      </c>
      <c r="P88" t="s">
        <v>296</v>
      </c>
      <c r="Q88" t="s">
        <v>297</v>
      </c>
      <c r="R88" t="s">
        <v>298</v>
      </c>
      <c r="S88" s="5">
        <f t="shared" si="8"/>
        <v>29.188145603349401</v>
      </c>
      <c r="T88" t="s">
        <v>299</v>
      </c>
      <c r="U88" s="5">
        <f t="shared" si="9"/>
        <v>13.533767187386699</v>
      </c>
      <c r="V88" t="s">
        <v>448</v>
      </c>
      <c r="W88" t="s">
        <v>300</v>
      </c>
      <c r="X88" t="s">
        <v>301</v>
      </c>
      <c r="Y88" t="s">
        <v>302</v>
      </c>
    </row>
    <row r="89" spans="1:25" x14ac:dyDescent="0.25">
      <c r="A89" t="s">
        <v>88</v>
      </c>
      <c r="B89">
        <v>16.581531056994699</v>
      </c>
      <c r="C89">
        <v>7.64787309896679</v>
      </c>
      <c r="D89" s="11" t="s">
        <v>232</v>
      </c>
      <c r="F89" s="8" t="str">
        <f t="shared" si="5"/>
        <v>New "Load.m2_trf_5286939a" bus1="82039815286939.1.2.3.4" phases=3 conn=Wye model=3 kv=0.380 kw=16,5815310569947 kvar=7,64787309896679 daily="CURVA" status=variable vmaxpu=1.5 vminpu=0.92</v>
      </c>
      <c r="G89" t="s">
        <v>290</v>
      </c>
      <c r="H89" t="s">
        <v>303</v>
      </c>
      <c r="I89" s="5" t="str">
        <f t="shared" si="6"/>
        <v>m2_trf_5286939a</v>
      </c>
      <c r="J89" t="s">
        <v>291</v>
      </c>
      <c r="K89" t="s">
        <v>292</v>
      </c>
      <c r="L89" s="13" t="str">
        <f t="shared" si="7"/>
        <v>82039815286939</v>
      </c>
      <c r="M89" t="s">
        <v>293</v>
      </c>
      <c r="N89" t="s">
        <v>294</v>
      </c>
      <c r="O89" t="s">
        <v>295</v>
      </c>
      <c r="P89" t="s">
        <v>296</v>
      </c>
      <c r="Q89" t="s">
        <v>297</v>
      </c>
      <c r="R89" t="s">
        <v>298</v>
      </c>
      <c r="S89" s="5">
        <f t="shared" si="8"/>
        <v>16.581531056994699</v>
      </c>
      <c r="T89" t="s">
        <v>299</v>
      </c>
      <c r="U89" s="5">
        <f t="shared" si="9"/>
        <v>7.64787309896679</v>
      </c>
      <c r="V89" t="s">
        <v>448</v>
      </c>
      <c r="W89" t="s">
        <v>300</v>
      </c>
      <c r="X89" t="s">
        <v>301</v>
      </c>
      <c r="Y89" t="s">
        <v>302</v>
      </c>
    </row>
    <row r="90" spans="1:25" x14ac:dyDescent="0.25">
      <c r="A90" t="s">
        <v>89</v>
      </c>
      <c r="B90">
        <v>21.0333909629746</v>
      </c>
      <c r="C90">
        <v>9.6515624882418898</v>
      </c>
      <c r="D90" s="11" t="s">
        <v>233</v>
      </c>
      <c r="F90" s="8" t="str">
        <f t="shared" si="5"/>
        <v>New "Load.m2_trf_5286940a" bus1="82039945286940.1.2.3.4" phases=3 conn=Wye model=3 kv=0.380 kw=21,0333909629746 kvar=9,65156248824189 daily="CURVA" status=variable vmaxpu=1.5 vminpu=0.92</v>
      </c>
      <c r="G90" t="s">
        <v>290</v>
      </c>
      <c r="H90" t="s">
        <v>303</v>
      </c>
      <c r="I90" s="5" t="str">
        <f t="shared" si="6"/>
        <v>m2_trf_5286940a</v>
      </c>
      <c r="J90" t="s">
        <v>291</v>
      </c>
      <c r="K90" t="s">
        <v>292</v>
      </c>
      <c r="L90" s="13" t="str">
        <f t="shared" si="7"/>
        <v>82039945286940</v>
      </c>
      <c r="M90" t="s">
        <v>293</v>
      </c>
      <c r="N90" t="s">
        <v>294</v>
      </c>
      <c r="O90" t="s">
        <v>295</v>
      </c>
      <c r="P90" t="s">
        <v>296</v>
      </c>
      <c r="Q90" t="s">
        <v>297</v>
      </c>
      <c r="R90" t="s">
        <v>298</v>
      </c>
      <c r="S90" s="5">
        <f t="shared" si="8"/>
        <v>21.0333909629746</v>
      </c>
      <c r="T90" t="s">
        <v>299</v>
      </c>
      <c r="U90" s="5">
        <f t="shared" si="9"/>
        <v>9.6515624882418898</v>
      </c>
      <c r="V90" t="s">
        <v>448</v>
      </c>
      <c r="W90" t="s">
        <v>300</v>
      </c>
      <c r="X90" t="s">
        <v>301</v>
      </c>
      <c r="Y90" t="s">
        <v>302</v>
      </c>
    </row>
    <row r="91" spans="1:25" x14ac:dyDescent="0.25">
      <c r="A91" t="s">
        <v>90</v>
      </c>
      <c r="B91">
        <v>26.381717671955698</v>
      </c>
      <c r="C91">
        <v>12.1321790899274</v>
      </c>
      <c r="D91" s="11" t="s">
        <v>234</v>
      </c>
      <c r="F91" s="8" t="str">
        <f t="shared" si="5"/>
        <v>New "Load.m2_trf_5286941a" bus1="82040015286941.1.2.3.4" phases=3 conn=Wye model=3 kv=0.380 kw=26,3817176719557 kvar=12,1321790899274 daily="CURVA" status=variable vmaxpu=1.5 vminpu=0.92</v>
      </c>
      <c r="G91" t="s">
        <v>290</v>
      </c>
      <c r="H91" t="s">
        <v>303</v>
      </c>
      <c r="I91" s="5" t="str">
        <f t="shared" si="6"/>
        <v>m2_trf_5286941a</v>
      </c>
      <c r="J91" t="s">
        <v>291</v>
      </c>
      <c r="K91" t="s">
        <v>292</v>
      </c>
      <c r="L91" s="13" t="str">
        <f t="shared" si="7"/>
        <v>82040015286941</v>
      </c>
      <c r="M91" t="s">
        <v>293</v>
      </c>
      <c r="N91" t="s">
        <v>294</v>
      </c>
      <c r="O91" t="s">
        <v>295</v>
      </c>
      <c r="P91" t="s">
        <v>296</v>
      </c>
      <c r="Q91" t="s">
        <v>297</v>
      </c>
      <c r="R91" t="s">
        <v>298</v>
      </c>
      <c r="S91" s="5">
        <f t="shared" si="8"/>
        <v>26.381717671955698</v>
      </c>
      <c r="T91" t="s">
        <v>299</v>
      </c>
      <c r="U91" s="5">
        <f t="shared" si="9"/>
        <v>12.1321790899274</v>
      </c>
      <c r="V91" t="s">
        <v>448</v>
      </c>
      <c r="W91" t="s">
        <v>300</v>
      </c>
      <c r="X91" t="s">
        <v>301</v>
      </c>
      <c r="Y91" t="s">
        <v>302</v>
      </c>
    </row>
    <row r="92" spans="1:25" x14ac:dyDescent="0.25">
      <c r="A92" t="s">
        <v>91</v>
      </c>
      <c r="B92">
        <v>11.4764256540572</v>
      </c>
      <c r="C92">
        <v>5.2992205213807599</v>
      </c>
      <c r="D92" s="11" t="s">
        <v>235</v>
      </c>
      <c r="F92" s="8" t="str">
        <f t="shared" si="5"/>
        <v>New "Load.m2_trf_5286942a" bus1="82040165286942.1.2.3.4" phases=3 conn=Wye model=3 kv=0.380 kw=11,4764256540572 kvar=5,29922052138076 daily="CURVA" status=variable vmaxpu=1.5 vminpu=0.92</v>
      </c>
      <c r="G92" t="s">
        <v>290</v>
      </c>
      <c r="H92" t="s">
        <v>303</v>
      </c>
      <c r="I92" s="5" t="str">
        <f t="shared" si="6"/>
        <v>m2_trf_5286942a</v>
      </c>
      <c r="J92" t="s">
        <v>291</v>
      </c>
      <c r="K92" t="s">
        <v>292</v>
      </c>
      <c r="L92" s="13" t="str">
        <f t="shared" si="7"/>
        <v>82040165286942</v>
      </c>
      <c r="M92" t="s">
        <v>293</v>
      </c>
      <c r="N92" t="s">
        <v>294</v>
      </c>
      <c r="O92" t="s">
        <v>295</v>
      </c>
      <c r="P92" t="s">
        <v>296</v>
      </c>
      <c r="Q92" t="s">
        <v>297</v>
      </c>
      <c r="R92" t="s">
        <v>298</v>
      </c>
      <c r="S92" s="5">
        <f t="shared" si="8"/>
        <v>11.4764256540572</v>
      </c>
      <c r="T92" t="s">
        <v>299</v>
      </c>
      <c r="U92" s="5">
        <f t="shared" si="9"/>
        <v>5.2992205213807599</v>
      </c>
      <c r="V92" t="s">
        <v>448</v>
      </c>
      <c r="W92" t="s">
        <v>300</v>
      </c>
      <c r="X92" t="s">
        <v>301</v>
      </c>
      <c r="Y92" t="s">
        <v>302</v>
      </c>
    </row>
    <row r="93" spans="1:25" x14ac:dyDescent="0.25">
      <c r="A93" t="s">
        <v>92</v>
      </c>
      <c r="B93">
        <v>9.9029401532996904</v>
      </c>
      <c r="C93">
        <v>4.5556746652072597</v>
      </c>
      <c r="D93" s="11" t="s">
        <v>236</v>
      </c>
      <c r="F93" s="8" t="str">
        <f t="shared" si="5"/>
        <v>New "Load.m2_trf_5286943a" bus1="82040265286943.1.2.3.4" phases=3 conn=Wye model=3 kv=0.380 kw=9,90294015329969 kvar=4,55567466520726 daily="CURVA" status=variable vmaxpu=1.5 vminpu=0.92</v>
      </c>
      <c r="G93" t="s">
        <v>290</v>
      </c>
      <c r="H93" t="s">
        <v>303</v>
      </c>
      <c r="I93" s="5" t="str">
        <f t="shared" si="6"/>
        <v>m2_trf_5286943a</v>
      </c>
      <c r="J93" t="s">
        <v>291</v>
      </c>
      <c r="K93" t="s">
        <v>292</v>
      </c>
      <c r="L93" s="13" t="str">
        <f t="shared" si="7"/>
        <v>82040265286943</v>
      </c>
      <c r="M93" t="s">
        <v>293</v>
      </c>
      <c r="N93" t="s">
        <v>294</v>
      </c>
      <c r="O93" t="s">
        <v>295</v>
      </c>
      <c r="P93" t="s">
        <v>296</v>
      </c>
      <c r="Q93" t="s">
        <v>297</v>
      </c>
      <c r="R93" t="s">
        <v>298</v>
      </c>
      <c r="S93" s="5">
        <f t="shared" si="8"/>
        <v>9.9029401532996904</v>
      </c>
      <c r="T93" t="s">
        <v>299</v>
      </c>
      <c r="U93" s="5">
        <f t="shared" si="9"/>
        <v>4.5556746652072597</v>
      </c>
      <c r="V93" t="s">
        <v>448</v>
      </c>
      <c r="W93" t="s">
        <v>300</v>
      </c>
      <c r="X93" t="s">
        <v>301</v>
      </c>
      <c r="Y93" t="s">
        <v>302</v>
      </c>
    </row>
    <row r="94" spans="1:25" x14ac:dyDescent="0.25">
      <c r="A94" t="s">
        <v>93</v>
      </c>
      <c r="B94">
        <v>13.3886340114127</v>
      </c>
      <c r="C94">
        <v>6.17979821707823</v>
      </c>
      <c r="D94" s="11" t="s">
        <v>237</v>
      </c>
      <c r="F94" s="8" t="str">
        <f t="shared" si="5"/>
        <v>New "Load.m2_trf_5286944a" bus1="82039725286944.1.2.3.4" phases=3 conn=Wye model=3 kv=0.380 kw=13,3886340114127 kvar=6,17979821707823 daily="CURVA" status=variable vmaxpu=1.5 vminpu=0.92</v>
      </c>
      <c r="G94" t="s">
        <v>290</v>
      </c>
      <c r="H94" t="s">
        <v>303</v>
      </c>
      <c r="I94" s="5" t="str">
        <f t="shared" si="6"/>
        <v>m2_trf_5286944a</v>
      </c>
      <c r="J94" t="s">
        <v>291</v>
      </c>
      <c r="K94" t="s">
        <v>292</v>
      </c>
      <c r="L94" s="13" t="str">
        <f t="shared" si="7"/>
        <v>82039725286944</v>
      </c>
      <c r="M94" t="s">
        <v>293</v>
      </c>
      <c r="N94" t="s">
        <v>294</v>
      </c>
      <c r="O94" t="s">
        <v>295</v>
      </c>
      <c r="P94" t="s">
        <v>296</v>
      </c>
      <c r="Q94" t="s">
        <v>297</v>
      </c>
      <c r="R94" t="s">
        <v>298</v>
      </c>
      <c r="S94" s="5">
        <f t="shared" si="8"/>
        <v>13.3886340114127</v>
      </c>
      <c r="T94" t="s">
        <v>299</v>
      </c>
      <c r="U94" s="5">
        <f t="shared" si="9"/>
        <v>6.17979821707823</v>
      </c>
      <c r="V94" t="s">
        <v>448</v>
      </c>
      <c r="W94" t="s">
        <v>300</v>
      </c>
      <c r="X94" t="s">
        <v>301</v>
      </c>
      <c r="Y94" t="s">
        <v>302</v>
      </c>
    </row>
    <row r="95" spans="1:25" x14ac:dyDescent="0.25">
      <c r="A95" t="s">
        <v>94</v>
      </c>
      <c r="B95">
        <v>26.992429406281602</v>
      </c>
      <c r="C95">
        <v>12.453592784576699</v>
      </c>
      <c r="D95" s="11" t="s">
        <v>238</v>
      </c>
      <c r="F95" s="8" t="str">
        <f t="shared" si="5"/>
        <v>New "Load.m2_trf_5286945a" bus1="82040415286945.1.2.3.4" phases=3 conn=Wye model=3 kv=0.380 kw=26,9924294062816 kvar=12,4535927845767 daily="CURVA" status=variable vmaxpu=1.5 vminpu=0.92</v>
      </c>
      <c r="G95" t="s">
        <v>290</v>
      </c>
      <c r="H95" t="s">
        <v>303</v>
      </c>
      <c r="I95" s="5" t="str">
        <f t="shared" si="6"/>
        <v>m2_trf_5286945a</v>
      </c>
      <c r="J95" t="s">
        <v>291</v>
      </c>
      <c r="K95" t="s">
        <v>292</v>
      </c>
      <c r="L95" s="13" t="str">
        <f t="shared" si="7"/>
        <v>82040415286945</v>
      </c>
      <c r="M95" t="s">
        <v>293</v>
      </c>
      <c r="N95" t="s">
        <v>294</v>
      </c>
      <c r="O95" t="s">
        <v>295</v>
      </c>
      <c r="P95" t="s">
        <v>296</v>
      </c>
      <c r="Q95" t="s">
        <v>297</v>
      </c>
      <c r="R95" t="s">
        <v>298</v>
      </c>
      <c r="S95" s="5">
        <f t="shared" si="8"/>
        <v>26.992429406281602</v>
      </c>
      <c r="T95" t="s">
        <v>299</v>
      </c>
      <c r="U95" s="5">
        <f t="shared" si="9"/>
        <v>12.453592784576699</v>
      </c>
      <c r="V95" t="s">
        <v>448</v>
      </c>
      <c r="W95" t="s">
        <v>300</v>
      </c>
      <c r="X95" t="s">
        <v>301</v>
      </c>
      <c r="Y95" t="s">
        <v>302</v>
      </c>
    </row>
    <row r="96" spans="1:25" x14ac:dyDescent="0.25">
      <c r="A96" t="s">
        <v>95</v>
      </c>
      <c r="B96">
        <v>14.461816962409699</v>
      </c>
      <c r="C96">
        <v>6.6564487051377501</v>
      </c>
      <c r="D96" s="11" t="s">
        <v>239</v>
      </c>
      <c r="F96" s="8" t="str">
        <f t="shared" si="5"/>
        <v>New "Load.m2_trf_5286946a" bus1="82040575286946.1.2.3.4" phases=3 conn=Wye model=3 kv=0.380 kw=14,4618169624097 kvar=6,65644870513775 daily="CURVA" status=variable vmaxpu=1.5 vminpu=0.92</v>
      </c>
      <c r="G96" t="s">
        <v>290</v>
      </c>
      <c r="H96" t="s">
        <v>303</v>
      </c>
      <c r="I96" s="5" t="str">
        <f t="shared" si="6"/>
        <v>m2_trf_5286946a</v>
      </c>
      <c r="J96" t="s">
        <v>291</v>
      </c>
      <c r="K96" t="s">
        <v>292</v>
      </c>
      <c r="L96" s="13" t="str">
        <f t="shared" si="7"/>
        <v>82040575286946</v>
      </c>
      <c r="M96" t="s">
        <v>293</v>
      </c>
      <c r="N96" t="s">
        <v>294</v>
      </c>
      <c r="O96" t="s">
        <v>295</v>
      </c>
      <c r="P96" t="s">
        <v>296</v>
      </c>
      <c r="Q96" t="s">
        <v>297</v>
      </c>
      <c r="R96" t="s">
        <v>298</v>
      </c>
      <c r="S96" s="5">
        <f t="shared" si="8"/>
        <v>14.461816962409699</v>
      </c>
      <c r="T96" t="s">
        <v>299</v>
      </c>
      <c r="U96" s="5">
        <f t="shared" si="9"/>
        <v>6.6564487051377501</v>
      </c>
      <c r="V96" t="s">
        <v>448</v>
      </c>
      <c r="W96" t="s">
        <v>300</v>
      </c>
      <c r="X96" t="s">
        <v>301</v>
      </c>
      <c r="Y96" t="s">
        <v>302</v>
      </c>
    </row>
    <row r="97" spans="1:25" x14ac:dyDescent="0.25">
      <c r="A97" t="s">
        <v>96</v>
      </c>
      <c r="B97">
        <v>24.9775356749488</v>
      </c>
      <c r="C97">
        <v>11.5231147265037</v>
      </c>
      <c r="D97" s="11" t="s">
        <v>240</v>
      </c>
      <c r="F97" s="8" t="str">
        <f t="shared" si="5"/>
        <v>New "Load.m2_trf_5440862a" bus1="81479715440862.1.2.3.4" phases=3 conn=Wye model=3 kv=0.380 kw=24,9775356749488 kvar=11,5231147265037 daily="CURVA" status=variable vmaxpu=1.5 vminpu=0.92</v>
      </c>
      <c r="G97" t="s">
        <v>290</v>
      </c>
      <c r="H97" t="s">
        <v>303</v>
      </c>
      <c r="I97" s="5" t="str">
        <f t="shared" si="6"/>
        <v>m2_trf_5440862a</v>
      </c>
      <c r="J97" t="s">
        <v>291</v>
      </c>
      <c r="K97" t="s">
        <v>292</v>
      </c>
      <c r="L97" s="13" t="str">
        <f t="shared" si="7"/>
        <v>81479715440862</v>
      </c>
      <c r="M97" t="s">
        <v>293</v>
      </c>
      <c r="N97" t="s">
        <v>294</v>
      </c>
      <c r="O97" t="s">
        <v>295</v>
      </c>
      <c r="P97" t="s">
        <v>296</v>
      </c>
      <c r="Q97" t="s">
        <v>297</v>
      </c>
      <c r="R97" t="s">
        <v>298</v>
      </c>
      <c r="S97" s="5">
        <f t="shared" si="8"/>
        <v>24.9775356749488</v>
      </c>
      <c r="T97" t="s">
        <v>299</v>
      </c>
      <c r="U97" s="5">
        <f t="shared" si="9"/>
        <v>11.5231147265037</v>
      </c>
      <c r="V97" t="s">
        <v>448</v>
      </c>
      <c r="W97" t="s">
        <v>300</v>
      </c>
      <c r="X97" t="s">
        <v>301</v>
      </c>
      <c r="Y97" t="s">
        <v>302</v>
      </c>
    </row>
    <row r="98" spans="1:25" x14ac:dyDescent="0.25">
      <c r="A98" t="s">
        <v>97</v>
      </c>
      <c r="B98">
        <v>14.0411363760069</v>
      </c>
      <c r="C98">
        <v>6.4313286690047402</v>
      </c>
      <c r="D98" s="11" t="s">
        <v>241</v>
      </c>
      <c r="F98" s="8" t="str">
        <f t="shared" si="5"/>
        <v>New "Load.m2_trf_5469845a" bus1="82032105469845.1.2.3.4" phases=3 conn=Wye model=3 kv=0.380 kw=14,0411363760069 kvar=6,43132866900474 daily="CURVA" status=variable vmaxpu=1.5 vminpu=0.92</v>
      </c>
      <c r="G98" t="s">
        <v>290</v>
      </c>
      <c r="H98" t="s">
        <v>303</v>
      </c>
      <c r="I98" s="5" t="str">
        <f t="shared" si="6"/>
        <v>m2_trf_5469845a</v>
      </c>
      <c r="J98" t="s">
        <v>291</v>
      </c>
      <c r="K98" t="s">
        <v>292</v>
      </c>
      <c r="L98" s="13" t="str">
        <f t="shared" si="7"/>
        <v>82032105469845</v>
      </c>
      <c r="M98" t="s">
        <v>293</v>
      </c>
      <c r="N98" t="s">
        <v>294</v>
      </c>
      <c r="O98" t="s">
        <v>295</v>
      </c>
      <c r="P98" t="s">
        <v>296</v>
      </c>
      <c r="Q98" t="s">
        <v>297</v>
      </c>
      <c r="R98" t="s">
        <v>298</v>
      </c>
      <c r="S98" s="5">
        <f t="shared" si="8"/>
        <v>14.0411363760069</v>
      </c>
      <c r="T98" t="s">
        <v>299</v>
      </c>
      <c r="U98" s="5">
        <f t="shared" si="9"/>
        <v>6.4313286690047402</v>
      </c>
      <c r="V98" t="s">
        <v>448</v>
      </c>
      <c r="W98" t="s">
        <v>300</v>
      </c>
      <c r="X98" t="s">
        <v>301</v>
      </c>
      <c r="Y98" t="s">
        <v>302</v>
      </c>
    </row>
    <row r="99" spans="1:25" x14ac:dyDescent="0.25">
      <c r="A99" t="s">
        <v>98</v>
      </c>
      <c r="B99">
        <v>11.511347831044001</v>
      </c>
      <c r="C99">
        <v>5.27957236773379</v>
      </c>
      <c r="D99" s="11" t="s">
        <v>242</v>
      </c>
      <c r="F99" s="8" t="str">
        <f t="shared" si="5"/>
        <v>New "Load.m2_trf_5470133a" bus1="82034125470133.1.2.3.4" phases=3 conn=Wye model=3 kv=0.380 kw=11,511347831044 kvar=5,27957236773379 daily="CURVA" status=variable vmaxpu=1.5 vminpu=0.92</v>
      </c>
      <c r="G99" t="s">
        <v>290</v>
      </c>
      <c r="H99" t="s">
        <v>303</v>
      </c>
      <c r="I99" s="5" t="str">
        <f t="shared" si="6"/>
        <v>m2_trf_5470133a</v>
      </c>
      <c r="J99" t="s">
        <v>291</v>
      </c>
      <c r="K99" t="s">
        <v>292</v>
      </c>
      <c r="L99" s="13" t="str">
        <f t="shared" si="7"/>
        <v>82034125470133</v>
      </c>
      <c r="M99" t="s">
        <v>293</v>
      </c>
      <c r="N99" t="s">
        <v>294</v>
      </c>
      <c r="O99" t="s">
        <v>295</v>
      </c>
      <c r="P99" t="s">
        <v>296</v>
      </c>
      <c r="Q99" t="s">
        <v>297</v>
      </c>
      <c r="R99" t="s">
        <v>298</v>
      </c>
      <c r="S99" s="5">
        <f t="shared" si="8"/>
        <v>11.511347831044001</v>
      </c>
      <c r="T99" t="s">
        <v>299</v>
      </c>
      <c r="U99" s="5">
        <f t="shared" si="9"/>
        <v>5.27957236773379</v>
      </c>
      <c r="V99" t="s">
        <v>448</v>
      </c>
      <c r="W99" t="s">
        <v>300</v>
      </c>
      <c r="X99" t="s">
        <v>301</v>
      </c>
      <c r="Y99" t="s">
        <v>302</v>
      </c>
    </row>
    <row r="100" spans="1:25" x14ac:dyDescent="0.25">
      <c r="A100" t="s">
        <v>99</v>
      </c>
      <c r="B100">
        <v>8.1729668562095501</v>
      </c>
      <c r="C100">
        <v>3.8530694623875701</v>
      </c>
      <c r="D100" s="11" t="s">
        <v>243</v>
      </c>
      <c r="F100" s="8" t="str">
        <f t="shared" si="5"/>
        <v>New "Load.m2_trf_5472282a" bus1="87774405472282.1.2.3.4" phases=3 conn=Wye model=3 kv=0.380 kw=8,17296685620955 kvar=3,85306946238757 daily="CURVA" status=variable vmaxpu=1.5 vminpu=0.92</v>
      </c>
      <c r="G100" t="s">
        <v>290</v>
      </c>
      <c r="H100" t="s">
        <v>303</v>
      </c>
      <c r="I100" s="5" t="str">
        <f t="shared" si="6"/>
        <v>m2_trf_5472282a</v>
      </c>
      <c r="J100" t="s">
        <v>291</v>
      </c>
      <c r="K100" t="s">
        <v>292</v>
      </c>
      <c r="L100" s="13" t="str">
        <f t="shared" si="7"/>
        <v>87774405472282</v>
      </c>
      <c r="M100" t="s">
        <v>293</v>
      </c>
      <c r="N100" t="s">
        <v>294</v>
      </c>
      <c r="O100" t="s">
        <v>295</v>
      </c>
      <c r="P100" t="s">
        <v>296</v>
      </c>
      <c r="Q100" t="s">
        <v>297</v>
      </c>
      <c r="R100" t="s">
        <v>298</v>
      </c>
      <c r="S100" s="5">
        <f t="shared" si="8"/>
        <v>8.1729668562095501</v>
      </c>
      <c r="T100" t="s">
        <v>299</v>
      </c>
      <c r="U100" s="5">
        <f t="shared" si="9"/>
        <v>3.8530694623875701</v>
      </c>
      <c r="V100" t="s">
        <v>448</v>
      </c>
      <c r="W100" t="s">
        <v>300</v>
      </c>
      <c r="X100" t="s">
        <v>301</v>
      </c>
      <c r="Y100" t="s">
        <v>302</v>
      </c>
    </row>
    <row r="101" spans="1:25" x14ac:dyDescent="0.25">
      <c r="A101" t="s">
        <v>100</v>
      </c>
      <c r="B101">
        <v>8.7226100409426497</v>
      </c>
      <c r="C101">
        <v>4.0458372432502099</v>
      </c>
      <c r="D101" s="11" t="s">
        <v>244</v>
      </c>
      <c r="F101" s="8" t="str">
        <f t="shared" si="5"/>
        <v>New "Load.m2_trf_5479360a" bus1="81460535479360.1.2.3.4" phases=3 conn=Wye model=3 kv=0.380 kw=8,72261004094265 kvar=4,04583724325021 daily="CURVA" status=variable vmaxpu=1.5 vminpu=0.92</v>
      </c>
      <c r="G101" t="s">
        <v>290</v>
      </c>
      <c r="H101" t="s">
        <v>303</v>
      </c>
      <c r="I101" s="5" t="str">
        <f t="shared" si="6"/>
        <v>m2_trf_5479360a</v>
      </c>
      <c r="J101" t="s">
        <v>291</v>
      </c>
      <c r="K101" t="s">
        <v>292</v>
      </c>
      <c r="L101" s="13" t="str">
        <f t="shared" si="7"/>
        <v>81460535479360</v>
      </c>
      <c r="M101" t="s">
        <v>293</v>
      </c>
      <c r="N101" t="s">
        <v>294</v>
      </c>
      <c r="O101" t="s">
        <v>295</v>
      </c>
      <c r="P101" t="s">
        <v>296</v>
      </c>
      <c r="Q101" t="s">
        <v>297</v>
      </c>
      <c r="R101" t="s">
        <v>298</v>
      </c>
      <c r="S101" s="5">
        <f t="shared" si="8"/>
        <v>8.7226100409426497</v>
      </c>
      <c r="T101" t="s">
        <v>299</v>
      </c>
      <c r="U101" s="5">
        <f t="shared" si="9"/>
        <v>4.0458372432502099</v>
      </c>
      <c r="V101" t="s">
        <v>448</v>
      </c>
      <c r="W101" t="s">
        <v>300</v>
      </c>
      <c r="X101" t="s">
        <v>301</v>
      </c>
      <c r="Y101" t="s">
        <v>302</v>
      </c>
    </row>
    <row r="102" spans="1:25" x14ac:dyDescent="0.25">
      <c r="A102" t="s">
        <v>101</v>
      </c>
      <c r="B102">
        <v>8.8686361115045802</v>
      </c>
      <c r="C102">
        <v>4.1056400335921701</v>
      </c>
      <c r="D102" s="11" t="s">
        <v>245</v>
      </c>
      <c r="F102" s="8" t="str">
        <f t="shared" si="5"/>
        <v>New "Load.m2_trf_5491509a" bus1="88287355491509.1.2.3.4" phases=3 conn=Wye model=3 kv=0.380 kw=8,86863611150458 kvar=4,10564003359217 daily="CURVA" status=variable vmaxpu=1.5 vminpu=0.92</v>
      </c>
      <c r="G102" t="s">
        <v>290</v>
      </c>
      <c r="H102" t="s">
        <v>303</v>
      </c>
      <c r="I102" s="5" t="str">
        <f t="shared" si="6"/>
        <v>m2_trf_5491509a</v>
      </c>
      <c r="J102" t="s">
        <v>291</v>
      </c>
      <c r="K102" t="s">
        <v>292</v>
      </c>
      <c r="L102" s="13" t="str">
        <f t="shared" si="7"/>
        <v>88287355491509</v>
      </c>
      <c r="M102" t="s">
        <v>293</v>
      </c>
      <c r="N102" t="s">
        <v>294</v>
      </c>
      <c r="O102" t="s">
        <v>295</v>
      </c>
      <c r="P102" t="s">
        <v>296</v>
      </c>
      <c r="Q102" t="s">
        <v>297</v>
      </c>
      <c r="R102" t="s">
        <v>298</v>
      </c>
      <c r="S102" s="5">
        <f t="shared" si="8"/>
        <v>8.8686361115045802</v>
      </c>
      <c r="T102" t="s">
        <v>299</v>
      </c>
      <c r="U102" s="5">
        <f t="shared" si="9"/>
        <v>4.1056400335921701</v>
      </c>
      <c r="V102" t="s">
        <v>448</v>
      </c>
      <c r="W102" t="s">
        <v>300</v>
      </c>
      <c r="X102" t="s">
        <v>301</v>
      </c>
      <c r="Y102" t="s">
        <v>302</v>
      </c>
    </row>
    <row r="103" spans="1:25" x14ac:dyDescent="0.25">
      <c r="A103" t="s">
        <v>102</v>
      </c>
      <c r="B103">
        <v>22.919150993815599</v>
      </c>
      <c r="C103">
        <v>10.5469021240448</v>
      </c>
      <c r="D103" s="11" t="s">
        <v>246</v>
      </c>
      <c r="F103" s="8" t="str">
        <f t="shared" si="5"/>
        <v>New "Load.m2_trf_5499009a" bus1="82062715499009.1.2.3.4" phases=3 conn=Wye model=3 kv=0.380 kw=22,9191509938156 kvar=10,5469021240448 daily="CURVA" status=variable vmaxpu=1.5 vminpu=0.92</v>
      </c>
      <c r="G103" t="s">
        <v>290</v>
      </c>
      <c r="H103" t="s">
        <v>303</v>
      </c>
      <c r="I103" s="5" t="str">
        <f t="shared" si="6"/>
        <v>m2_trf_5499009a</v>
      </c>
      <c r="J103" t="s">
        <v>291</v>
      </c>
      <c r="K103" t="s">
        <v>292</v>
      </c>
      <c r="L103" s="13" t="str">
        <f t="shared" si="7"/>
        <v>82062715499009</v>
      </c>
      <c r="M103" t="s">
        <v>293</v>
      </c>
      <c r="N103" t="s">
        <v>294</v>
      </c>
      <c r="O103" t="s">
        <v>295</v>
      </c>
      <c r="P103" t="s">
        <v>296</v>
      </c>
      <c r="Q103" t="s">
        <v>297</v>
      </c>
      <c r="R103" t="s">
        <v>298</v>
      </c>
      <c r="S103" s="5">
        <f t="shared" si="8"/>
        <v>22.919150993815599</v>
      </c>
      <c r="T103" t="s">
        <v>299</v>
      </c>
      <c r="U103" s="5">
        <f t="shared" si="9"/>
        <v>10.5469021240448</v>
      </c>
      <c r="V103" t="s">
        <v>448</v>
      </c>
      <c r="W103" t="s">
        <v>300</v>
      </c>
      <c r="X103" t="s">
        <v>301</v>
      </c>
      <c r="Y103" t="s">
        <v>302</v>
      </c>
    </row>
    <row r="104" spans="1:25" x14ac:dyDescent="0.25">
      <c r="A104" t="s">
        <v>103</v>
      </c>
      <c r="B104">
        <v>8.6894771789872696</v>
      </c>
      <c r="C104">
        <v>4.0272928897562297</v>
      </c>
      <c r="D104" s="11" t="s">
        <v>247</v>
      </c>
      <c r="F104" s="8" t="str">
        <f t="shared" si="5"/>
        <v>New "Load.m2_trf_5485359a" bus1="88109845485359.1.2.3.4" phases=3 conn=Wye model=3 kv=0.380 kw=8,68947717898727 kvar=4,02729288975623 daily="CURVA" status=variable vmaxpu=1.5 vminpu=0.92</v>
      </c>
      <c r="G104" t="s">
        <v>290</v>
      </c>
      <c r="H104" t="s">
        <v>303</v>
      </c>
      <c r="I104" s="5" t="str">
        <f t="shared" si="6"/>
        <v>m2_trf_5485359a</v>
      </c>
      <c r="J104" t="s">
        <v>291</v>
      </c>
      <c r="K104" t="s">
        <v>292</v>
      </c>
      <c r="L104" s="13" t="str">
        <f t="shared" si="7"/>
        <v>88109845485359</v>
      </c>
      <c r="M104" t="s">
        <v>293</v>
      </c>
      <c r="N104" t="s">
        <v>294</v>
      </c>
      <c r="O104" t="s">
        <v>295</v>
      </c>
      <c r="P104" t="s">
        <v>296</v>
      </c>
      <c r="Q104" t="s">
        <v>297</v>
      </c>
      <c r="R104" t="s">
        <v>298</v>
      </c>
      <c r="S104" s="5">
        <f t="shared" si="8"/>
        <v>8.6894771789872696</v>
      </c>
      <c r="T104" t="s">
        <v>299</v>
      </c>
      <c r="U104" s="5">
        <f t="shared" si="9"/>
        <v>4.0272928897562297</v>
      </c>
      <c r="V104" t="s">
        <v>448</v>
      </c>
      <c r="W104" t="s">
        <v>300</v>
      </c>
      <c r="X104" t="s">
        <v>301</v>
      </c>
      <c r="Y104" t="s">
        <v>302</v>
      </c>
    </row>
    <row r="105" spans="1:25" x14ac:dyDescent="0.25">
      <c r="A105" t="s">
        <v>104</v>
      </c>
      <c r="B105">
        <v>26.348919832848999</v>
      </c>
      <c r="C105">
        <v>12.097445691433</v>
      </c>
      <c r="D105" s="11" t="s">
        <v>248</v>
      </c>
      <c r="F105" s="8" t="str">
        <f t="shared" si="5"/>
        <v>New "Load.m2_trf_5502834a" bus1="82026575502834.1.2.3.4" phases=3 conn=Wye model=3 kv=0.380 kw=26,348919832849 kvar=12,097445691433 daily="CURVA" status=variable vmaxpu=1.5 vminpu=0.92</v>
      </c>
      <c r="G105" t="s">
        <v>290</v>
      </c>
      <c r="H105" t="s">
        <v>303</v>
      </c>
      <c r="I105" s="5" t="str">
        <f t="shared" si="6"/>
        <v>m2_trf_5502834a</v>
      </c>
      <c r="J105" t="s">
        <v>291</v>
      </c>
      <c r="K105" t="s">
        <v>292</v>
      </c>
      <c r="L105" s="13" t="str">
        <f t="shared" si="7"/>
        <v>82026575502834</v>
      </c>
      <c r="M105" t="s">
        <v>293</v>
      </c>
      <c r="N105" t="s">
        <v>294</v>
      </c>
      <c r="O105" t="s">
        <v>295</v>
      </c>
      <c r="P105" t="s">
        <v>296</v>
      </c>
      <c r="Q105" t="s">
        <v>297</v>
      </c>
      <c r="R105" t="s">
        <v>298</v>
      </c>
      <c r="S105" s="5">
        <f t="shared" si="8"/>
        <v>26.348919832848999</v>
      </c>
      <c r="T105" t="s">
        <v>299</v>
      </c>
      <c r="U105" s="5">
        <f t="shared" si="9"/>
        <v>12.097445691433</v>
      </c>
      <c r="V105" t="s">
        <v>448</v>
      </c>
      <c r="W105" t="s">
        <v>300</v>
      </c>
      <c r="X105" t="s">
        <v>301</v>
      </c>
      <c r="Y105" t="s">
        <v>302</v>
      </c>
    </row>
    <row r="106" spans="1:25" x14ac:dyDescent="0.25">
      <c r="A106" t="s">
        <v>105</v>
      </c>
      <c r="B106">
        <v>35.243225222741103</v>
      </c>
      <c r="C106">
        <v>16.150283723913301</v>
      </c>
      <c r="D106" s="11" t="s">
        <v>249</v>
      </c>
      <c r="F106" s="8" t="str">
        <f t="shared" si="5"/>
        <v>New "Load.m2_trf_5505307a" bus1="82034555505307.1.2.3.4" phases=3 conn=Wye model=3 kv=0.380 kw=35,2432252227411 kvar=16,1502837239133 daily="CURVA" status=variable vmaxpu=1.5 vminpu=0.92</v>
      </c>
      <c r="G106" t="s">
        <v>290</v>
      </c>
      <c r="H106" t="s">
        <v>303</v>
      </c>
      <c r="I106" s="5" t="str">
        <f t="shared" si="6"/>
        <v>m2_trf_5505307a</v>
      </c>
      <c r="J106" t="s">
        <v>291</v>
      </c>
      <c r="K106" t="s">
        <v>292</v>
      </c>
      <c r="L106" s="13" t="str">
        <f t="shared" si="7"/>
        <v>82034555505307</v>
      </c>
      <c r="M106" t="s">
        <v>293</v>
      </c>
      <c r="N106" t="s">
        <v>294</v>
      </c>
      <c r="O106" t="s">
        <v>295</v>
      </c>
      <c r="P106" t="s">
        <v>296</v>
      </c>
      <c r="Q106" t="s">
        <v>297</v>
      </c>
      <c r="R106" t="s">
        <v>298</v>
      </c>
      <c r="S106" s="5">
        <f t="shared" si="8"/>
        <v>35.243225222741103</v>
      </c>
      <c r="T106" t="s">
        <v>299</v>
      </c>
      <c r="U106" s="5">
        <f t="shared" si="9"/>
        <v>16.150283723913301</v>
      </c>
      <c r="V106" t="s">
        <v>448</v>
      </c>
      <c r="W106" t="s">
        <v>300</v>
      </c>
      <c r="X106" t="s">
        <v>301</v>
      </c>
      <c r="Y106" t="s">
        <v>302</v>
      </c>
    </row>
    <row r="107" spans="1:25" x14ac:dyDescent="0.25">
      <c r="A107" t="s">
        <v>106</v>
      </c>
      <c r="B107">
        <v>18.1163603417851</v>
      </c>
      <c r="C107">
        <v>8.4083276870589607</v>
      </c>
      <c r="D107" s="11" t="s">
        <v>250</v>
      </c>
      <c r="F107" s="8" t="str">
        <f t="shared" si="5"/>
        <v>New "Load.m2_trf_5535535a" bus1="89701935535535.1.2.3.4" phases=3 conn=Wye model=3 kv=0.380 kw=18,1163603417851 kvar=8,40832768705896 daily="CURVA" status=variable vmaxpu=1.5 vminpu=0.92</v>
      </c>
      <c r="G107" t="s">
        <v>290</v>
      </c>
      <c r="H107" t="s">
        <v>303</v>
      </c>
      <c r="I107" s="5" t="str">
        <f t="shared" si="6"/>
        <v>m2_trf_5535535a</v>
      </c>
      <c r="J107" t="s">
        <v>291</v>
      </c>
      <c r="K107" t="s">
        <v>292</v>
      </c>
      <c r="L107" s="13" t="str">
        <f t="shared" si="7"/>
        <v>89701935535535</v>
      </c>
      <c r="M107" t="s">
        <v>293</v>
      </c>
      <c r="N107" t="s">
        <v>294</v>
      </c>
      <c r="O107" t="s">
        <v>295</v>
      </c>
      <c r="P107" t="s">
        <v>296</v>
      </c>
      <c r="Q107" t="s">
        <v>297</v>
      </c>
      <c r="R107" t="s">
        <v>298</v>
      </c>
      <c r="S107" s="5">
        <f t="shared" si="8"/>
        <v>18.1163603417851</v>
      </c>
      <c r="T107" t="s">
        <v>299</v>
      </c>
      <c r="U107" s="5">
        <f t="shared" si="9"/>
        <v>8.4083276870589607</v>
      </c>
      <c r="V107" t="s">
        <v>448</v>
      </c>
      <c r="W107" t="s">
        <v>300</v>
      </c>
      <c r="X107" t="s">
        <v>301</v>
      </c>
      <c r="Y107" t="s">
        <v>302</v>
      </c>
    </row>
    <row r="108" spans="1:25" x14ac:dyDescent="0.25">
      <c r="A108" t="s">
        <v>107</v>
      </c>
      <c r="B108">
        <v>11.202242360775699</v>
      </c>
      <c r="C108">
        <v>5.1655520663268</v>
      </c>
      <c r="D108" s="11" t="s">
        <v>251</v>
      </c>
      <c r="F108" s="8" t="str">
        <f t="shared" si="5"/>
        <v>New "Load.m2_trf_5537656a" bus1="89813615537656.1.2.3.4" phases=3 conn=Wye model=3 kv=0.380 kw=11,2022423607757 kvar=5,1655520663268 daily="CURVA" status=variable vmaxpu=1.5 vminpu=0.92</v>
      </c>
      <c r="G108" t="s">
        <v>290</v>
      </c>
      <c r="H108" t="s">
        <v>303</v>
      </c>
      <c r="I108" s="5" t="str">
        <f t="shared" si="6"/>
        <v>m2_trf_5537656a</v>
      </c>
      <c r="J108" t="s">
        <v>291</v>
      </c>
      <c r="K108" t="s">
        <v>292</v>
      </c>
      <c r="L108" s="13" t="str">
        <f t="shared" si="7"/>
        <v>89813615537656</v>
      </c>
      <c r="M108" t="s">
        <v>293</v>
      </c>
      <c r="N108" t="s">
        <v>294</v>
      </c>
      <c r="O108" t="s">
        <v>295</v>
      </c>
      <c r="P108" t="s">
        <v>296</v>
      </c>
      <c r="Q108" t="s">
        <v>297</v>
      </c>
      <c r="R108" t="s">
        <v>298</v>
      </c>
      <c r="S108" s="5">
        <f t="shared" si="8"/>
        <v>11.202242360775699</v>
      </c>
      <c r="T108" t="s">
        <v>299</v>
      </c>
      <c r="U108" s="5">
        <f t="shared" si="9"/>
        <v>5.1655520663268</v>
      </c>
      <c r="V108" t="s">
        <v>448</v>
      </c>
      <c r="W108" t="s">
        <v>300</v>
      </c>
      <c r="X108" t="s">
        <v>301</v>
      </c>
      <c r="Y108" t="s">
        <v>302</v>
      </c>
    </row>
    <row r="109" spans="1:25" x14ac:dyDescent="0.25">
      <c r="A109" t="s">
        <v>108</v>
      </c>
      <c r="B109">
        <v>12.009951836964399</v>
      </c>
      <c r="C109">
        <v>5.7362424560399603</v>
      </c>
      <c r="D109" s="11" t="s">
        <v>252</v>
      </c>
      <c r="F109" s="8" t="str">
        <f t="shared" si="5"/>
        <v>New "Load.m2_trf_5547722a" bus1="90017985547722.1.2.3.4" phases=3 conn=Wye model=3 kv=0.380 kw=12,0099518369644 kvar=5,73624245603996 daily="CURVA" status=variable vmaxpu=1.5 vminpu=0.92</v>
      </c>
      <c r="G109" t="s">
        <v>290</v>
      </c>
      <c r="H109" t="s">
        <v>303</v>
      </c>
      <c r="I109" s="5" t="str">
        <f t="shared" si="6"/>
        <v>m2_trf_5547722a</v>
      </c>
      <c r="J109" t="s">
        <v>291</v>
      </c>
      <c r="K109" t="s">
        <v>292</v>
      </c>
      <c r="L109" s="13" t="str">
        <f t="shared" si="7"/>
        <v>90017985547722</v>
      </c>
      <c r="M109" t="s">
        <v>293</v>
      </c>
      <c r="N109" t="s">
        <v>294</v>
      </c>
      <c r="O109" t="s">
        <v>295</v>
      </c>
      <c r="P109" t="s">
        <v>296</v>
      </c>
      <c r="Q109" t="s">
        <v>297</v>
      </c>
      <c r="R109" t="s">
        <v>298</v>
      </c>
      <c r="S109" s="5">
        <f t="shared" si="8"/>
        <v>12.009951836964399</v>
      </c>
      <c r="T109" t="s">
        <v>299</v>
      </c>
      <c r="U109" s="5">
        <f t="shared" si="9"/>
        <v>5.7362424560399603</v>
      </c>
      <c r="V109" t="s">
        <v>448</v>
      </c>
      <c r="W109" t="s">
        <v>300</v>
      </c>
      <c r="X109" t="s">
        <v>301</v>
      </c>
      <c r="Y109" t="s">
        <v>302</v>
      </c>
    </row>
    <row r="110" spans="1:25" x14ac:dyDescent="0.25">
      <c r="A110" t="s">
        <v>109</v>
      </c>
      <c r="B110">
        <v>16.1958533298397</v>
      </c>
      <c r="C110">
        <v>7.4802364838760003</v>
      </c>
      <c r="D110" s="11" t="s">
        <v>253</v>
      </c>
      <c r="F110" s="8" t="str">
        <f t="shared" si="5"/>
        <v>New "Load.m2_trf_5551754a" bus1="82061675551754.1.2.3.4" phases=3 conn=Wye model=3 kv=0.380 kw=16,1958533298397 kvar=7,480236483876 daily="CURVA" status=variable vmaxpu=1.5 vminpu=0.92</v>
      </c>
      <c r="G110" t="s">
        <v>290</v>
      </c>
      <c r="H110" t="s">
        <v>303</v>
      </c>
      <c r="I110" s="5" t="str">
        <f t="shared" si="6"/>
        <v>m2_trf_5551754a</v>
      </c>
      <c r="J110" t="s">
        <v>291</v>
      </c>
      <c r="K110" t="s">
        <v>292</v>
      </c>
      <c r="L110" s="13" t="str">
        <f t="shared" si="7"/>
        <v>82061675551754</v>
      </c>
      <c r="M110" t="s">
        <v>293</v>
      </c>
      <c r="N110" t="s">
        <v>294</v>
      </c>
      <c r="O110" t="s">
        <v>295</v>
      </c>
      <c r="P110" t="s">
        <v>296</v>
      </c>
      <c r="Q110" t="s">
        <v>297</v>
      </c>
      <c r="R110" t="s">
        <v>298</v>
      </c>
      <c r="S110" s="5">
        <f t="shared" si="8"/>
        <v>16.1958533298397</v>
      </c>
      <c r="T110" t="s">
        <v>299</v>
      </c>
      <c r="U110" s="5">
        <f t="shared" si="9"/>
        <v>7.4802364838760003</v>
      </c>
      <c r="V110" t="s">
        <v>448</v>
      </c>
      <c r="W110" t="s">
        <v>300</v>
      </c>
      <c r="X110" t="s">
        <v>301</v>
      </c>
      <c r="Y110" t="s">
        <v>302</v>
      </c>
    </row>
    <row r="111" spans="1:25" x14ac:dyDescent="0.25">
      <c r="A111" t="s">
        <v>110</v>
      </c>
      <c r="B111">
        <v>24.021149733082598</v>
      </c>
      <c r="C111">
        <v>11.287462347578099</v>
      </c>
      <c r="D111" s="11" t="s">
        <v>254</v>
      </c>
      <c r="F111" s="8" t="str">
        <f t="shared" si="5"/>
        <v>New "Load.m2_trf_5552038a" bus1="90190165552038.1.2.3.4" phases=3 conn=Wye model=3 kv=0.380 kw=24,0211497330826 kvar=11,2874623475781 daily="CURVA" status=variable vmaxpu=1.5 vminpu=0.92</v>
      </c>
      <c r="G111" t="s">
        <v>290</v>
      </c>
      <c r="H111" t="s">
        <v>303</v>
      </c>
      <c r="I111" s="5" t="str">
        <f t="shared" si="6"/>
        <v>m2_trf_5552038a</v>
      </c>
      <c r="J111" t="s">
        <v>291</v>
      </c>
      <c r="K111" t="s">
        <v>292</v>
      </c>
      <c r="L111" s="13" t="str">
        <f t="shared" si="7"/>
        <v>90190165552038</v>
      </c>
      <c r="M111" t="s">
        <v>293</v>
      </c>
      <c r="N111" t="s">
        <v>294</v>
      </c>
      <c r="O111" t="s">
        <v>295</v>
      </c>
      <c r="P111" t="s">
        <v>296</v>
      </c>
      <c r="Q111" t="s">
        <v>297</v>
      </c>
      <c r="R111" t="s">
        <v>298</v>
      </c>
      <c r="S111" s="5">
        <f t="shared" si="8"/>
        <v>24.021149733082598</v>
      </c>
      <c r="T111" t="s">
        <v>299</v>
      </c>
      <c r="U111" s="5">
        <f t="shared" si="9"/>
        <v>11.287462347578099</v>
      </c>
      <c r="V111" t="s">
        <v>448</v>
      </c>
      <c r="W111" t="s">
        <v>300</v>
      </c>
      <c r="X111" t="s">
        <v>301</v>
      </c>
      <c r="Y111" t="s">
        <v>302</v>
      </c>
    </row>
    <row r="112" spans="1:25" x14ac:dyDescent="0.25">
      <c r="A112" t="s">
        <v>111</v>
      </c>
      <c r="B112">
        <v>18.892525995122899</v>
      </c>
      <c r="C112">
        <v>8.7769036760627408</v>
      </c>
      <c r="D112" s="11" t="s">
        <v>255</v>
      </c>
      <c r="F112" s="8" t="str">
        <f t="shared" si="5"/>
        <v>New "Load.m2_trf_5552309a" bus1="82024125552309.1.2.3.4" phases=3 conn=Wye model=3 kv=0.380 kw=18,8925259951229 kvar=8,77690367606274 daily="CURVA" status=variable vmaxpu=1.5 vminpu=0.92</v>
      </c>
      <c r="G112" t="s">
        <v>290</v>
      </c>
      <c r="H112" t="s">
        <v>303</v>
      </c>
      <c r="I112" s="5" t="str">
        <f t="shared" si="6"/>
        <v>m2_trf_5552309a</v>
      </c>
      <c r="J112" t="s">
        <v>291</v>
      </c>
      <c r="K112" t="s">
        <v>292</v>
      </c>
      <c r="L112" s="13" t="str">
        <f t="shared" si="7"/>
        <v>82024125552309</v>
      </c>
      <c r="M112" t="s">
        <v>293</v>
      </c>
      <c r="N112" t="s">
        <v>294</v>
      </c>
      <c r="O112" t="s">
        <v>295</v>
      </c>
      <c r="P112" t="s">
        <v>296</v>
      </c>
      <c r="Q112" t="s">
        <v>297</v>
      </c>
      <c r="R112" t="s">
        <v>298</v>
      </c>
      <c r="S112" s="5">
        <f t="shared" si="8"/>
        <v>18.892525995122899</v>
      </c>
      <c r="T112" t="s">
        <v>299</v>
      </c>
      <c r="U112" s="5">
        <f t="shared" si="9"/>
        <v>8.7769036760627408</v>
      </c>
      <c r="V112" t="s">
        <v>448</v>
      </c>
      <c r="W112" t="s">
        <v>300</v>
      </c>
      <c r="X112" t="s">
        <v>301</v>
      </c>
      <c r="Y112" t="s">
        <v>302</v>
      </c>
    </row>
    <row r="113" spans="1:25" x14ac:dyDescent="0.25">
      <c r="A113" t="s">
        <v>112</v>
      </c>
      <c r="B113">
        <v>5.6659070846193202</v>
      </c>
      <c r="C113">
        <v>2.6337165747906099</v>
      </c>
      <c r="D113" s="11" t="s">
        <v>256</v>
      </c>
      <c r="F113" s="8" t="str">
        <f t="shared" si="5"/>
        <v>New "Load.m2_trf_5552553a" bus1="90214315552553.1.2.3.4" phases=3 conn=Wye model=3 kv=0.380 kw=5,66590708461932 kvar=2,63371657479061 daily="CURVA" status=variable vmaxpu=1.5 vminpu=0.92</v>
      </c>
      <c r="G113" t="s">
        <v>290</v>
      </c>
      <c r="H113" t="s">
        <v>303</v>
      </c>
      <c r="I113" s="5" t="str">
        <f t="shared" si="6"/>
        <v>m2_trf_5552553a</v>
      </c>
      <c r="J113" t="s">
        <v>291</v>
      </c>
      <c r="K113" t="s">
        <v>292</v>
      </c>
      <c r="L113" s="13" t="str">
        <f t="shared" si="7"/>
        <v>90214315552553</v>
      </c>
      <c r="M113" t="s">
        <v>293</v>
      </c>
      <c r="N113" t="s">
        <v>294</v>
      </c>
      <c r="O113" t="s">
        <v>295</v>
      </c>
      <c r="P113" t="s">
        <v>296</v>
      </c>
      <c r="Q113" t="s">
        <v>297</v>
      </c>
      <c r="R113" t="s">
        <v>298</v>
      </c>
      <c r="S113" s="5">
        <f t="shared" si="8"/>
        <v>5.6659070846193202</v>
      </c>
      <c r="T113" t="s">
        <v>299</v>
      </c>
      <c r="U113" s="5">
        <f t="shared" si="9"/>
        <v>2.6337165747906099</v>
      </c>
      <c r="V113" t="s">
        <v>448</v>
      </c>
      <c r="W113" t="s">
        <v>300</v>
      </c>
      <c r="X113" t="s">
        <v>301</v>
      </c>
      <c r="Y113" t="s">
        <v>302</v>
      </c>
    </row>
    <row r="114" spans="1:25" x14ac:dyDescent="0.25">
      <c r="A114" t="s">
        <v>113</v>
      </c>
      <c r="B114">
        <v>51.943260490725201</v>
      </c>
      <c r="C114">
        <v>23.6841798396167</v>
      </c>
      <c r="D114" s="11" t="s">
        <v>257</v>
      </c>
      <c r="F114" s="8" t="str">
        <f t="shared" si="5"/>
        <v>New "Load.m2_trf_5552819a" bus1="82032765552819.1.2.3.4" phases=3 conn=Wye model=3 kv=0.380 kw=51,9432604907252 kvar=23,6841798396167 daily="CURVA" status=variable vmaxpu=1.5 vminpu=0.92</v>
      </c>
      <c r="G114" t="s">
        <v>290</v>
      </c>
      <c r="H114" t="s">
        <v>303</v>
      </c>
      <c r="I114" s="5" t="str">
        <f t="shared" si="6"/>
        <v>m2_trf_5552819a</v>
      </c>
      <c r="J114" t="s">
        <v>291</v>
      </c>
      <c r="K114" t="s">
        <v>292</v>
      </c>
      <c r="L114" s="13" t="str">
        <f t="shared" si="7"/>
        <v>82032765552819</v>
      </c>
      <c r="M114" t="s">
        <v>293</v>
      </c>
      <c r="N114" t="s">
        <v>294</v>
      </c>
      <c r="O114" t="s">
        <v>295</v>
      </c>
      <c r="P114" t="s">
        <v>296</v>
      </c>
      <c r="Q114" t="s">
        <v>297</v>
      </c>
      <c r="R114" t="s">
        <v>298</v>
      </c>
      <c r="S114" s="5">
        <f t="shared" si="8"/>
        <v>51.943260490725201</v>
      </c>
      <c r="T114" t="s">
        <v>299</v>
      </c>
      <c r="U114" s="5">
        <f t="shared" si="9"/>
        <v>23.6841798396167</v>
      </c>
      <c r="V114" t="s">
        <v>448</v>
      </c>
      <c r="W114" t="s">
        <v>300</v>
      </c>
      <c r="X114" t="s">
        <v>301</v>
      </c>
      <c r="Y114" t="s">
        <v>302</v>
      </c>
    </row>
    <row r="115" spans="1:25" x14ac:dyDescent="0.25">
      <c r="A115" t="s">
        <v>114</v>
      </c>
      <c r="B115">
        <v>24.633046971178899</v>
      </c>
      <c r="C115">
        <v>11.277723095852201</v>
      </c>
      <c r="D115" s="11" t="s">
        <v>258</v>
      </c>
      <c r="F115" s="8" t="str">
        <f t="shared" si="5"/>
        <v>New "Load.m2_trf_5569878a" bus1="82055955569878.1.2.3.4" phases=3 conn=Wye model=3 kv=0.380 kw=24,6330469711789 kvar=11,2777230958522 daily="CURVA" status=variable vmaxpu=1.5 vminpu=0.92</v>
      </c>
      <c r="G115" t="s">
        <v>290</v>
      </c>
      <c r="H115" t="s">
        <v>303</v>
      </c>
      <c r="I115" s="5" t="str">
        <f t="shared" si="6"/>
        <v>m2_trf_5569878a</v>
      </c>
      <c r="J115" t="s">
        <v>291</v>
      </c>
      <c r="K115" t="s">
        <v>292</v>
      </c>
      <c r="L115" s="13" t="str">
        <f t="shared" si="7"/>
        <v>82055955569878</v>
      </c>
      <c r="M115" t="s">
        <v>293</v>
      </c>
      <c r="N115" t="s">
        <v>294</v>
      </c>
      <c r="O115" t="s">
        <v>295</v>
      </c>
      <c r="P115" t="s">
        <v>296</v>
      </c>
      <c r="Q115" t="s">
        <v>297</v>
      </c>
      <c r="R115" t="s">
        <v>298</v>
      </c>
      <c r="S115" s="5">
        <f t="shared" si="8"/>
        <v>24.633046971178899</v>
      </c>
      <c r="T115" t="s">
        <v>299</v>
      </c>
      <c r="U115" s="5">
        <f t="shared" si="9"/>
        <v>11.277723095852201</v>
      </c>
      <c r="V115" t="s">
        <v>448</v>
      </c>
      <c r="W115" t="s">
        <v>300</v>
      </c>
      <c r="X115" t="s">
        <v>301</v>
      </c>
      <c r="Y115" t="s">
        <v>302</v>
      </c>
    </row>
    <row r="116" spans="1:25" x14ac:dyDescent="0.25">
      <c r="A116" t="s">
        <v>115</v>
      </c>
      <c r="B116">
        <v>8.4818872843592601</v>
      </c>
      <c r="C116">
        <v>4.0796486405064796</v>
      </c>
      <c r="D116" s="11" t="s">
        <v>259</v>
      </c>
      <c r="F116" s="8" t="str">
        <f t="shared" si="5"/>
        <v>New "Load.m2_trf_5555964a" bus1="90305705555964.1.2.3.4" phases=3 conn=Wye model=3 kv=0.380 kw=8,48188728435926 kvar=4,07964864050648 daily="CURVA" status=variable vmaxpu=1.5 vminpu=0.92</v>
      </c>
      <c r="G116" t="s">
        <v>290</v>
      </c>
      <c r="H116" t="s">
        <v>303</v>
      </c>
      <c r="I116" s="5" t="str">
        <f t="shared" si="6"/>
        <v>m2_trf_5555964a</v>
      </c>
      <c r="J116" t="s">
        <v>291</v>
      </c>
      <c r="K116" t="s">
        <v>292</v>
      </c>
      <c r="L116" s="13" t="str">
        <f t="shared" si="7"/>
        <v>90305705555964</v>
      </c>
      <c r="M116" t="s">
        <v>293</v>
      </c>
      <c r="N116" t="s">
        <v>294</v>
      </c>
      <c r="O116" t="s">
        <v>295</v>
      </c>
      <c r="P116" t="s">
        <v>296</v>
      </c>
      <c r="Q116" t="s">
        <v>297</v>
      </c>
      <c r="R116" t="s">
        <v>298</v>
      </c>
      <c r="S116" s="5">
        <f t="shared" si="8"/>
        <v>8.4818872843592601</v>
      </c>
      <c r="T116" t="s">
        <v>299</v>
      </c>
      <c r="U116" s="5">
        <f t="shared" si="9"/>
        <v>4.0796486405064796</v>
      </c>
      <c r="V116" t="s">
        <v>448</v>
      </c>
      <c r="W116" t="s">
        <v>300</v>
      </c>
      <c r="X116" t="s">
        <v>301</v>
      </c>
      <c r="Y116" t="s">
        <v>302</v>
      </c>
    </row>
    <row r="117" spans="1:25" x14ac:dyDescent="0.25">
      <c r="A117" t="s">
        <v>116</v>
      </c>
      <c r="B117">
        <v>26.872614952094199</v>
      </c>
      <c r="C117">
        <v>12.4642649821488</v>
      </c>
      <c r="D117" s="11" t="s">
        <v>260</v>
      </c>
      <c r="F117" s="8" t="str">
        <f t="shared" si="5"/>
        <v>New "Load.m2_trf_5557353a" bus1="82044325557353.1.2.3.4" phases=3 conn=Wye model=3 kv=0.380 kw=26,8726149520942 kvar=12,4642649821488 daily="CURVA" status=variable vmaxpu=1.5 vminpu=0.92</v>
      </c>
      <c r="G117" t="s">
        <v>290</v>
      </c>
      <c r="H117" t="s">
        <v>303</v>
      </c>
      <c r="I117" s="5" t="str">
        <f t="shared" si="6"/>
        <v>m2_trf_5557353a</v>
      </c>
      <c r="J117" t="s">
        <v>291</v>
      </c>
      <c r="K117" t="s">
        <v>292</v>
      </c>
      <c r="L117" s="13" t="str">
        <f t="shared" si="7"/>
        <v>82044325557353</v>
      </c>
      <c r="M117" t="s">
        <v>293</v>
      </c>
      <c r="N117" t="s">
        <v>294</v>
      </c>
      <c r="O117" t="s">
        <v>295</v>
      </c>
      <c r="P117" t="s">
        <v>296</v>
      </c>
      <c r="Q117" t="s">
        <v>297</v>
      </c>
      <c r="R117" t="s">
        <v>298</v>
      </c>
      <c r="S117" s="5">
        <f t="shared" si="8"/>
        <v>26.872614952094199</v>
      </c>
      <c r="T117" t="s">
        <v>299</v>
      </c>
      <c r="U117" s="5">
        <f t="shared" si="9"/>
        <v>12.4642649821488</v>
      </c>
      <c r="V117" t="s">
        <v>448</v>
      </c>
      <c r="W117" t="s">
        <v>300</v>
      </c>
      <c r="X117" t="s">
        <v>301</v>
      </c>
      <c r="Y117" t="s">
        <v>302</v>
      </c>
    </row>
    <row r="118" spans="1:25" x14ac:dyDescent="0.25">
      <c r="A118" t="s">
        <v>117</v>
      </c>
      <c r="B118">
        <v>18.2290256590952</v>
      </c>
      <c r="C118">
        <v>8.4320478173438396</v>
      </c>
      <c r="D118" s="11" t="s">
        <v>261</v>
      </c>
      <c r="F118" s="8" t="str">
        <f t="shared" si="5"/>
        <v>New "Load.m2_trf_5558213a" bus1="90349975558213.1.2.3.4" phases=3 conn=Wye model=3 kv=0.380 kw=18,2290256590952 kvar=8,43204781734384 daily="CURVA" status=variable vmaxpu=1.5 vminpu=0.92</v>
      </c>
      <c r="G118" t="s">
        <v>290</v>
      </c>
      <c r="H118" t="s">
        <v>303</v>
      </c>
      <c r="I118" s="5" t="str">
        <f t="shared" si="6"/>
        <v>m2_trf_5558213a</v>
      </c>
      <c r="J118" t="s">
        <v>291</v>
      </c>
      <c r="K118" t="s">
        <v>292</v>
      </c>
      <c r="L118" s="13" t="str">
        <f t="shared" si="7"/>
        <v>90349975558213</v>
      </c>
      <c r="M118" t="s">
        <v>293</v>
      </c>
      <c r="N118" t="s">
        <v>294</v>
      </c>
      <c r="O118" t="s">
        <v>295</v>
      </c>
      <c r="P118" t="s">
        <v>296</v>
      </c>
      <c r="Q118" t="s">
        <v>297</v>
      </c>
      <c r="R118" t="s">
        <v>298</v>
      </c>
      <c r="S118" s="5">
        <f t="shared" si="8"/>
        <v>18.2290256590952</v>
      </c>
      <c r="T118" t="s">
        <v>299</v>
      </c>
      <c r="U118" s="5">
        <f t="shared" si="9"/>
        <v>8.4320478173438396</v>
      </c>
      <c r="V118" t="s">
        <v>448</v>
      </c>
      <c r="W118" t="s">
        <v>300</v>
      </c>
      <c r="X118" t="s">
        <v>301</v>
      </c>
      <c r="Y118" t="s">
        <v>302</v>
      </c>
    </row>
    <row r="119" spans="1:25" x14ac:dyDescent="0.25">
      <c r="A119" t="s">
        <v>118</v>
      </c>
      <c r="B119">
        <v>20.8314221710007</v>
      </c>
      <c r="C119">
        <v>9.6606080167626107</v>
      </c>
      <c r="D119" s="11" t="s">
        <v>262</v>
      </c>
      <c r="F119" s="8" t="str">
        <f t="shared" si="5"/>
        <v>New "Load.m2_trf_5560489a" bus1="90409505560489.1.2.3.4" phases=3 conn=Wye model=3 kv=0.380 kw=20,8314221710007 kvar=9,66060801676261 daily="CURVA" status=variable vmaxpu=1.5 vminpu=0.92</v>
      </c>
      <c r="G119" t="s">
        <v>290</v>
      </c>
      <c r="H119" t="s">
        <v>303</v>
      </c>
      <c r="I119" s="5" t="str">
        <f t="shared" si="6"/>
        <v>m2_trf_5560489a</v>
      </c>
      <c r="J119" t="s">
        <v>291</v>
      </c>
      <c r="K119" t="s">
        <v>292</v>
      </c>
      <c r="L119" s="13" t="str">
        <f t="shared" si="7"/>
        <v>90409505560489</v>
      </c>
      <c r="M119" t="s">
        <v>293</v>
      </c>
      <c r="N119" t="s">
        <v>294</v>
      </c>
      <c r="O119" t="s">
        <v>295</v>
      </c>
      <c r="P119" t="s">
        <v>296</v>
      </c>
      <c r="Q119" t="s">
        <v>297</v>
      </c>
      <c r="R119" t="s">
        <v>298</v>
      </c>
      <c r="S119" s="5">
        <f t="shared" si="8"/>
        <v>20.8314221710007</v>
      </c>
      <c r="T119" t="s">
        <v>299</v>
      </c>
      <c r="U119" s="5">
        <f t="shared" si="9"/>
        <v>9.6606080167626107</v>
      </c>
      <c r="V119" t="s">
        <v>448</v>
      </c>
      <c r="W119" t="s">
        <v>300</v>
      </c>
      <c r="X119" t="s">
        <v>301</v>
      </c>
      <c r="Y119" t="s">
        <v>302</v>
      </c>
    </row>
    <row r="120" spans="1:25" x14ac:dyDescent="0.25">
      <c r="A120" t="s">
        <v>119</v>
      </c>
      <c r="B120">
        <v>22.002465577340701</v>
      </c>
      <c r="C120">
        <v>10.1298795780137</v>
      </c>
      <c r="D120" s="11" t="s">
        <v>263</v>
      </c>
      <c r="F120" s="8" t="str">
        <f t="shared" si="5"/>
        <v>New "Load.m2_trf_5574596a" bus1="82031945574596.1.2.3.4" phases=3 conn=Wye model=3 kv=0.380 kw=22,0024655773407 kvar=10,1298795780137 daily="CURVA" status=variable vmaxpu=1.5 vminpu=0.92</v>
      </c>
      <c r="G120" t="s">
        <v>290</v>
      </c>
      <c r="H120" t="s">
        <v>303</v>
      </c>
      <c r="I120" s="5" t="str">
        <f t="shared" si="6"/>
        <v>m2_trf_5574596a</v>
      </c>
      <c r="J120" t="s">
        <v>291</v>
      </c>
      <c r="K120" t="s">
        <v>292</v>
      </c>
      <c r="L120" s="13" t="str">
        <f t="shared" si="7"/>
        <v>82031945574596</v>
      </c>
      <c r="M120" t="s">
        <v>293</v>
      </c>
      <c r="N120" t="s">
        <v>294</v>
      </c>
      <c r="O120" t="s">
        <v>295</v>
      </c>
      <c r="P120" t="s">
        <v>296</v>
      </c>
      <c r="Q120" t="s">
        <v>297</v>
      </c>
      <c r="R120" t="s">
        <v>298</v>
      </c>
      <c r="S120" s="5">
        <f t="shared" si="8"/>
        <v>22.002465577340701</v>
      </c>
      <c r="T120" t="s">
        <v>299</v>
      </c>
      <c r="U120" s="5">
        <f t="shared" si="9"/>
        <v>10.1298795780137</v>
      </c>
      <c r="V120" t="s">
        <v>448</v>
      </c>
      <c r="W120" t="s">
        <v>300</v>
      </c>
      <c r="X120" t="s">
        <v>301</v>
      </c>
      <c r="Y120" t="s">
        <v>302</v>
      </c>
    </row>
    <row r="121" spans="1:25" x14ac:dyDescent="0.25">
      <c r="A121" t="s">
        <v>120</v>
      </c>
      <c r="B121">
        <v>18.0223140622671</v>
      </c>
      <c r="C121">
        <v>8.29973131848846</v>
      </c>
      <c r="D121" s="11" t="s">
        <v>264</v>
      </c>
      <c r="F121" s="8" t="str">
        <f t="shared" si="5"/>
        <v>New "Load.m2_trf_5577671a" bus1="90938795577671.1.2.3.4" phases=3 conn=Wye model=3 kv=0.380 kw=18,0223140622671 kvar=8,29973131848846 daily="CURVA" status=variable vmaxpu=1.5 vminpu=0.92</v>
      </c>
      <c r="G121" t="s">
        <v>290</v>
      </c>
      <c r="H121" t="s">
        <v>303</v>
      </c>
      <c r="I121" s="5" t="str">
        <f t="shared" si="6"/>
        <v>m2_trf_5577671a</v>
      </c>
      <c r="J121" t="s">
        <v>291</v>
      </c>
      <c r="K121" t="s">
        <v>292</v>
      </c>
      <c r="L121" s="13" t="str">
        <f t="shared" si="7"/>
        <v>90938795577671</v>
      </c>
      <c r="M121" t="s">
        <v>293</v>
      </c>
      <c r="N121" t="s">
        <v>294</v>
      </c>
      <c r="O121" t="s">
        <v>295</v>
      </c>
      <c r="P121" t="s">
        <v>296</v>
      </c>
      <c r="Q121" t="s">
        <v>297</v>
      </c>
      <c r="R121" t="s">
        <v>298</v>
      </c>
      <c r="S121" s="5">
        <f t="shared" si="8"/>
        <v>18.0223140622671</v>
      </c>
      <c r="T121" t="s">
        <v>299</v>
      </c>
      <c r="U121" s="5">
        <f t="shared" si="9"/>
        <v>8.29973131848846</v>
      </c>
      <c r="V121" t="s">
        <v>448</v>
      </c>
      <c r="W121" t="s">
        <v>300</v>
      </c>
      <c r="X121" t="s">
        <v>301</v>
      </c>
      <c r="Y121" t="s">
        <v>302</v>
      </c>
    </row>
    <row r="122" spans="1:25" x14ac:dyDescent="0.25">
      <c r="A122" t="s">
        <v>121</v>
      </c>
      <c r="B122">
        <v>11.223482515399301</v>
      </c>
      <c r="C122">
        <v>5.1712044252878204</v>
      </c>
      <c r="D122" s="11" t="s">
        <v>265</v>
      </c>
      <c r="F122" s="8" t="str">
        <f t="shared" si="5"/>
        <v>New "Load.m2_trf_5286947a" bus1="82040855286947.1.2.3.4" phases=3 conn=Wye model=3 kv=0.380 kw=11,2234825153993 kvar=5,17120442528782 daily="CURVA" status=variable vmaxpu=1.5 vminpu=0.92</v>
      </c>
      <c r="G122" t="s">
        <v>290</v>
      </c>
      <c r="H122" t="s">
        <v>303</v>
      </c>
      <c r="I122" s="5" t="str">
        <f t="shared" si="6"/>
        <v>m2_trf_5286947a</v>
      </c>
      <c r="J122" t="s">
        <v>291</v>
      </c>
      <c r="K122" t="s">
        <v>292</v>
      </c>
      <c r="L122" s="13" t="str">
        <f t="shared" si="7"/>
        <v>82040855286947</v>
      </c>
      <c r="M122" t="s">
        <v>293</v>
      </c>
      <c r="N122" t="s">
        <v>294</v>
      </c>
      <c r="O122" t="s">
        <v>295</v>
      </c>
      <c r="P122" t="s">
        <v>296</v>
      </c>
      <c r="Q122" t="s">
        <v>297</v>
      </c>
      <c r="R122" t="s">
        <v>298</v>
      </c>
      <c r="S122" s="5">
        <f t="shared" si="8"/>
        <v>11.223482515399301</v>
      </c>
      <c r="T122" t="s">
        <v>299</v>
      </c>
      <c r="U122" s="5">
        <f t="shared" si="9"/>
        <v>5.1712044252878204</v>
      </c>
      <c r="V122" t="s">
        <v>448</v>
      </c>
      <c r="W122" t="s">
        <v>300</v>
      </c>
      <c r="X122" t="s">
        <v>301</v>
      </c>
      <c r="Y122" t="s">
        <v>302</v>
      </c>
    </row>
    <row r="123" spans="1:25" x14ac:dyDescent="0.25">
      <c r="A123" t="s">
        <v>122</v>
      </c>
      <c r="B123">
        <v>33.188011382857603</v>
      </c>
      <c r="C123">
        <v>15.3227640105302</v>
      </c>
      <c r="D123" s="11" t="s">
        <v>266</v>
      </c>
      <c r="F123" s="8" t="str">
        <f t="shared" si="5"/>
        <v>New "Load.m2_trf_5286958a" bus1="82031405286958.1.2.3.4" phases=3 conn=Wye model=3 kv=0.380 kw=33,1880113828576 kvar=15,3227640105302 daily="CURVA" status=variable vmaxpu=1.5 vminpu=0.92</v>
      </c>
      <c r="G123" t="s">
        <v>290</v>
      </c>
      <c r="H123" t="s">
        <v>303</v>
      </c>
      <c r="I123" s="5" t="str">
        <f t="shared" si="6"/>
        <v>m2_trf_5286958a</v>
      </c>
      <c r="J123" t="s">
        <v>291</v>
      </c>
      <c r="K123" t="s">
        <v>292</v>
      </c>
      <c r="L123" s="13" t="str">
        <f t="shared" si="7"/>
        <v>82031405286958</v>
      </c>
      <c r="M123" t="s">
        <v>293</v>
      </c>
      <c r="N123" t="s">
        <v>294</v>
      </c>
      <c r="O123" t="s">
        <v>295</v>
      </c>
      <c r="P123" t="s">
        <v>296</v>
      </c>
      <c r="Q123" t="s">
        <v>297</v>
      </c>
      <c r="R123" t="s">
        <v>298</v>
      </c>
      <c r="S123" s="5">
        <f t="shared" si="8"/>
        <v>33.188011382857603</v>
      </c>
      <c r="T123" t="s">
        <v>299</v>
      </c>
      <c r="U123" s="5">
        <f t="shared" si="9"/>
        <v>15.3227640105302</v>
      </c>
      <c r="V123" t="s">
        <v>448</v>
      </c>
      <c r="W123" t="s">
        <v>300</v>
      </c>
      <c r="X123" t="s">
        <v>301</v>
      </c>
      <c r="Y123" t="s">
        <v>302</v>
      </c>
    </row>
    <row r="124" spans="1:25" x14ac:dyDescent="0.25">
      <c r="A124" t="s">
        <v>123</v>
      </c>
      <c r="B124">
        <v>41.5460791406569</v>
      </c>
      <c r="C124">
        <v>19.455156534743502</v>
      </c>
      <c r="D124" s="11" t="s">
        <v>267</v>
      </c>
      <c r="F124" s="8" t="str">
        <f t="shared" si="5"/>
        <v>New "Load.m2_trf_5286959a" bus1="82031445286959.1.2.3.4" phases=3 conn=Wye model=3 kv=0.380 kw=41,5460791406569 kvar=19,4551565347435 daily="CURVA" status=variable vmaxpu=1.5 vminpu=0.92</v>
      </c>
      <c r="G124" t="s">
        <v>290</v>
      </c>
      <c r="H124" t="s">
        <v>303</v>
      </c>
      <c r="I124" s="5" t="str">
        <f t="shared" si="6"/>
        <v>m2_trf_5286959a</v>
      </c>
      <c r="J124" t="s">
        <v>291</v>
      </c>
      <c r="K124" t="s">
        <v>292</v>
      </c>
      <c r="L124" s="13" t="str">
        <f t="shared" si="7"/>
        <v>82031445286959</v>
      </c>
      <c r="M124" t="s">
        <v>293</v>
      </c>
      <c r="N124" t="s">
        <v>294</v>
      </c>
      <c r="O124" t="s">
        <v>295</v>
      </c>
      <c r="P124" t="s">
        <v>296</v>
      </c>
      <c r="Q124" t="s">
        <v>297</v>
      </c>
      <c r="R124" t="s">
        <v>298</v>
      </c>
      <c r="S124" s="5">
        <f t="shared" si="8"/>
        <v>41.5460791406569</v>
      </c>
      <c r="T124" t="s">
        <v>299</v>
      </c>
      <c r="U124" s="5">
        <f t="shared" si="9"/>
        <v>19.455156534743502</v>
      </c>
      <c r="V124" t="s">
        <v>448</v>
      </c>
      <c r="W124" t="s">
        <v>300</v>
      </c>
      <c r="X124" t="s">
        <v>301</v>
      </c>
      <c r="Y124" t="s">
        <v>302</v>
      </c>
    </row>
    <row r="125" spans="1:25" x14ac:dyDescent="0.25">
      <c r="A125" t="s">
        <v>124</v>
      </c>
      <c r="B125">
        <v>29.898006439678401</v>
      </c>
      <c r="C125">
        <v>13.565551822637101</v>
      </c>
      <c r="D125" s="11" t="s">
        <v>268</v>
      </c>
      <c r="F125" s="8" t="str">
        <f t="shared" si="5"/>
        <v>New "Load.m2_trf_5286960a" bus1="82033945286960.1.2.3.4" phases=3 conn=Wye model=3 kv=0.380 kw=29,8980064396784 kvar=13,5655518226371 daily="CURVA" status=variable vmaxpu=1.5 vminpu=0.92</v>
      </c>
      <c r="G125" t="s">
        <v>290</v>
      </c>
      <c r="H125" t="s">
        <v>303</v>
      </c>
      <c r="I125" s="5" t="str">
        <f t="shared" si="6"/>
        <v>m2_trf_5286960a</v>
      </c>
      <c r="J125" t="s">
        <v>291</v>
      </c>
      <c r="K125" t="s">
        <v>292</v>
      </c>
      <c r="L125" s="13" t="str">
        <f t="shared" si="7"/>
        <v>82033945286960</v>
      </c>
      <c r="M125" t="s">
        <v>293</v>
      </c>
      <c r="N125" t="s">
        <v>294</v>
      </c>
      <c r="O125" t="s">
        <v>295</v>
      </c>
      <c r="P125" t="s">
        <v>296</v>
      </c>
      <c r="Q125" t="s">
        <v>297</v>
      </c>
      <c r="R125" t="s">
        <v>298</v>
      </c>
      <c r="S125" s="5">
        <f t="shared" si="8"/>
        <v>29.898006439678401</v>
      </c>
      <c r="T125" t="s">
        <v>299</v>
      </c>
      <c r="U125" s="5">
        <f t="shared" si="9"/>
        <v>13.565551822637101</v>
      </c>
      <c r="V125" t="s">
        <v>448</v>
      </c>
      <c r="W125" t="s">
        <v>300</v>
      </c>
      <c r="X125" t="s">
        <v>301</v>
      </c>
      <c r="Y125" t="s">
        <v>302</v>
      </c>
    </row>
    <row r="126" spans="1:25" x14ac:dyDescent="0.25">
      <c r="A126" t="s">
        <v>125</v>
      </c>
      <c r="B126">
        <v>43.5635957756759</v>
      </c>
      <c r="C126">
        <v>20.1444362532852</v>
      </c>
      <c r="D126" s="11" t="s">
        <v>269</v>
      </c>
      <c r="F126" s="8" t="str">
        <f t="shared" si="5"/>
        <v>New "Load.m2_trf_5286961a" bus1="97400945286961.1.2.3.4" phases=3 conn=Wye model=3 kv=0.380 kw=43,5635957756759 kvar=20,1444362532852 daily="CURVA" status=variable vmaxpu=1.5 vminpu=0.92</v>
      </c>
      <c r="G126" t="s">
        <v>290</v>
      </c>
      <c r="H126" t="s">
        <v>303</v>
      </c>
      <c r="I126" s="5" t="str">
        <f t="shared" si="6"/>
        <v>m2_trf_5286961a</v>
      </c>
      <c r="J126" t="s">
        <v>291</v>
      </c>
      <c r="K126" t="s">
        <v>292</v>
      </c>
      <c r="L126" s="13" t="str">
        <f t="shared" si="7"/>
        <v>97400945286961</v>
      </c>
      <c r="M126" t="s">
        <v>293</v>
      </c>
      <c r="N126" t="s">
        <v>294</v>
      </c>
      <c r="O126" t="s">
        <v>295</v>
      </c>
      <c r="P126" t="s">
        <v>296</v>
      </c>
      <c r="Q126" t="s">
        <v>297</v>
      </c>
      <c r="R126" t="s">
        <v>298</v>
      </c>
      <c r="S126" s="5">
        <f t="shared" si="8"/>
        <v>43.5635957756759</v>
      </c>
      <c r="T126" t="s">
        <v>299</v>
      </c>
      <c r="U126" s="5">
        <f t="shared" si="9"/>
        <v>20.1444362532852</v>
      </c>
      <c r="V126" t="s">
        <v>448</v>
      </c>
      <c r="W126" t="s">
        <v>300</v>
      </c>
      <c r="X126" t="s">
        <v>301</v>
      </c>
      <c r="Y126" t="s">
        <v>302</v>
      </c>
    </row>
    <row r="127" spans="1:25" x14ac:dyDescent="0.25">
      <c r="A127" t="s">
        <v>126</v>
      </c>
      <c r="B127">
        <v>14.9098489093612</v>
      </c>
      <c r="C127">
        <v>6.89683272712145</v>
      </c>
      <c r="D127" s="11" t="s">
        <v>270</v>
      </c>
      <c r="F127" s="8" t="str">
        <f t="shared" si="5"/>
        <v>New "Load.m2_trf_5286962a" bus1="82034445286962.1.2.3.4" phases=3 conn=Wye model=3 kv=0.380 kw=14,9098489093612 kvar=6,89683272712145 daily="CURVA" status=variable vmaxpu=1.5 vminpu=0.92</v>
      </c>
      <c r="G127" t="s">
        <v>290</v>
      </c>
      <c r="H127" t="s">
        <v>303</v>
      </c>
      <c r="I127" s="5" t="str">
        <f t="shared" si="6"/>
        <v>m2_trf_5286962a</v>
      </c>
      <c r="J127" t="s">
        <v>291</v>
      </c>
      <c r="K127" t="s">
        <v>292</v>
      </c>
      <c r="L127" s="13" t="str">
        <f t="shared" si="7"/>
        <v>82034445286962</v>
      </c>
      <c r="M127" t="s">
        <v>293</v>
      </c>
      <c r="N127" t="s">
        <v>294</v>
      </c>
      <c r="O127" t="s">
        <v>295</v>
      </c>
      <c r="P127" t="s">
        <v>296</v>
      </c>
      <c r="Q127" t="s">
        <v>297</v>
      </c>
      <c r="R127" t="s">
        <v>298</v>
      </c>
      <c r="S127" s="5">
        <f t="shared" si="8"/>
        <v>14.9098489093612</v>
      </c>
      <c r="T127" t="s">
        <v>299</v>
      </c>
      <c r="U127" s="5">
        <f t="shared" si="9"/>
        <v>6.89683272712145</v>
      </c>
      <c r="V127" t="s">
        <v>448</v>
      </c>
      <c r="W127" t="s">
        <v>300</v>
      </c>
      <c r="X127" t="s">
        <v>301</v>
      </c>
      <c r="Y127" t="s">
        <v>302</v>
      </c>
    </row>
    <row r="128" spans="1:25" x14ac:dyDescent="0.25">
      <c r="A128" t="s">
        <v>127</v>
      </c>
      <c r="B128">
        <v>19.7475179667586</v>
      </c>
      <c r="C128">
        <v>9.0856938154591305</v>
      </c>
      <c r="D128" s="11" t="s">
        <v>271</v>
      </c>
      <c r="F128" s="8" t="str">
        <f t="shared" si="5"/>
        <v>New "Load.m2_trf_5286963a" bus1="82035255286963.1.2.3.4" phases=3 conn=Wye model=3 kv=0.380 kw=19,7475179667586 kvar=9,08569381545913 daily="CURVA" status=variable vmaxpu=1.5 vminpu=0.92</v>
      </c>
      <c r="G128" t="s">
        <v>290</v>
      </c>
      <c r="H128" t="s">
        <v>303</v>
      </c>
      <c r="I128" s="5" t="str">
        <f t="shared" si="6"/>
        <v>m2_trf_5286963a</v>
      </c>
      <c r="J128" t="s">
        <v>291</v>
      </c>
      <c r="K128" t="s">
        <v>292</v>
      </c>
      <c r="L128" s="13" t="str">
        <f t="shared" si="7"/>
        <v>82035255286963</v>
      </c>
      <c r="M128" t="s">
        <v>293</v>
      </c>
      <c r="N128" t="s">
        <v>294</v>
      </c>
      <c r="O128" t="s">
        <v>295</v>
      </c>
      <c r="P128" t="s">
        <v>296</v>
      </c>
      <c r="Q128" t="s">
        <v>297</v>
      </c>
      <c r="R128" t="s">
        <v>298</v>
      </c>
      <c r="S128" s="5">
        <f t="shared" si="8"/>
        <v>19.7475179667586</v>
      </c>
      <c r="T128" t="s">
        <v>299</v>
      </c>
      <c r="U128" s="5">
        <f t="shared" si="9"/>
        <v>9.0856938154591305</v>
      </c>
      <c r="V128" t="s">
        <v>448</v>
      </c>
      <c r="W128" t="s">
        <v>300</v>
      </c>
      <c r="X128" t="s">
        <v>301</v>
      </c>
      <c r="Y128" t="s">
        <v>302</v>
      </c>
    </row>
    <row r="129" spans="1:25" x14ac:dyDescent="0.25">
      <c r="A129" t="s">
        <v>128</v>
      </c>
      <c r="B129">
        <v>69.143340644838801</v>
      </c>
      <c r="C129">
        <v>32.6602661569164</v>
      </c>
      <c r="D129" s="11" t="s">
        <v>272</v>
      </c>
      <c r="F129" s="8" t="str">
        <f t="shared" si="5"/>
        <v>New "Load.m2_trf_5286964a" bus1="82036275286964.1.2.3.4" phases=3 conn=Wye model=3 kv=0.380 kw=69,1433406448388 kvar=32,6602661569164 daily="CURVA" status=variable vmaxpu=1.5 vminpu=0.92</v>
      </c>
      <c r="G129" t="s">
        <v>290</v>
      </c>
      <c r="H129" t="s">
        <v>303</v>
      </c>
      <c r="I129" s="5" t="str">
        <f t="shared" si="6"/>
        <v>m2_trf_5286964a</v>
      </c>
      <c r="J129" t="s">
        <v>291</v>
      </c>
      <c r="K129" t="s">
        <v>292</v>
      </c>
      <c r="L129" s="13" t="str">
        <f t="shared" si="7"/>
        <v>82036275286964</v>
      </c>
      <c r="M129" t="s">
        <v>293</v>
      </c>
      <c r="N129" t="s">
        <v>294</v>
      </c>
      <c r="O129" t="s">
        <v>295</v>
      </c>
      <c r="P129" t="s">
        <v>296</v>
      </c>
      <c r="Q129" t="s">
        <v>297</v>
      </c>
      <c r="R129" t="s">
        <v>298</v>
      </c>
      <c r="S129" s="5">
        <f t="shared" si="8"/>
        <v>69.143340644838801</v>
      </c>
      <c r="T129" t="s">
        <v>299</v>
      </c>
      <c r="U129" s="5">
        <f t="shared" si="9"/>
        <v>32.6602661569164</v>
      </c>
      <c r="V129" t="s">
        <v>448</v>
      </c>
      <c r="W129" t="s">
        <v>300</v>
      </c>
      <c r="X129" t="s">
        <v>301</v>
      </c>
      <c r="Y129" t="s">
        <v>302</v>
      </c>
    </row>
    <row r="130" spans="1:25" x14ac:dyDescent="0.25">
      <c r="A130" t="s">
        <v>129</v>
      </c>
      <c r="B130">
        <v>34.889755615896902</v>
      </c>
      <c r="C130">
        <v>16.240674221104999</v>
      </c>
      <c r="D130" s="11" t="s">
        <v>273</v>
      </c>
      <c r="F130" s="8" t="str">
        <f t="shared" si="5"/>
        <v>New "Load.m2_trf_5286965a" bus1="82035485286965.1.2.3.4" phases=3 conn=Wye model=3 kv=0.380 kw=34,8897556158969 kvar=16,240674221105 daily="CURVA" status=variable vmaxpu=1.5 vminpu=0.92</v>
      </c>
      <c r="G130" t="s">
        <v>290</v>
      </c>
      <c r="H130" t="s">
        <v>303</v>
      </c>
      <c r="I130" s="5" t="str">
        <f t="shared" si="6"/>
        <v>m2_trf_5286965a</v>
      </c>
      <c r="J130" t="s">
        <v>291</v>
      </c>
      <c r="K130" t="s">
        <v>292</v>
      </c>
      <c r="L130" s="13" t="str">
        <f t="shared" si="7"/>
        <v>82035485286965</v>
      </c>
      <c r="M130" t="s">
        <v>293</v>
      </c>
      <c r="N130" t="s">
        <v>294</v>
      </c>
      <c r="O130" t="s">
        <v>295</v>
      </c>
      <c r="P130" t="s">
        <v>296</v>
      </c>
      <c r="Q130" t="s">
        <v>297</v>
      </c>
      <c r="R130" t="s">
        <v>298</v>
      </c>
      <c r="S130" s="5">
        <f t="shared" si="8"/>
        <v>34.889755615896902</v>
      </c>
      <c r="T130" t="s">
        <v>299</v>
      </c>
      <c r="U130" s="5">
        <f t="shared" si="9"/>
        <v>16.240674221104999</v>
      </c>
      <c r="V130" t="s">
        <v>448</v>
      </c>
      <c r="W130" t="s">
        <v>300</v>
      </c>
      <c r="X130" t="s">
        <v>301</v>
      </c>
      <c r="Y130" t="s">
        <v>302</v>
      </c>
    </row>
    <row r="131" spans="1:25" x14ac:dyDescent="0.25">
      <c r="A131" t="s">
        <v>130</v>
      </c>
      <c r="B131">
        <v>30.9263391707713</v>
      </c>
      <c r="C131">
        <v>14.4166432419043</v>
      </c>
      <c r="D131" s="11" t="s">
        <v>274</v>
      </c>
      <c r="F131" s="8" t="str">
        <f t="shared" ref="F131:F144" si="10">_xlfn.CONCAT(G131:Y131)</f>
        <v>New "Load.m2_trf_5286966a" bus1="82036045286966.1.2.3.4" phases=3 conn=Wye model=3 kv=0.380 kw=30,9263391707713 kvar=14,4166432419043 daily="CURVA" status=variable vmaxpu=1.5 vminpu=0.92</v>
      </c>
      <c r="G131" t="s">
        <v>290</v>
      </c>
      <c r="H131" t="s">
        <v>303</v>
      </c>
      <c r="I131" s="5" t="str">
        <f t="shared" ref="I131:I144" si="11">A131</f>
        <v>m2_trf_5286966a</v>
      </c>
      <c r="J131" t="s">
        <v>291</v>
      </c>
      <c r="K131" t="s">
        <v>292</v>
      </c>
      <c r="L131" s="13" t="str">
        <f t="shared" ref="L131:L144" si="12">D131</f>
        <v>82036045286966</v>
      </c>
      <c r="M131" t="s">
        <v>293</v>
      </c>
      <c r="N131" t="s">
        <v>294</v>
      </c>
      <c r="O131" t="s">
        <v>295</v>
      </c>
      <c r="P131" t="s">
        <v>296</v>
      </c>
      <c r="Q131" t="s">
        <v>297</v>
      </c>
      <c r="R131" t="s">
        <v>298</v>
      </c>
      <c r="S131" s="5">
        <f t="shared" ref="S131:S144" si="13">B131</f>
        <v>30.9263391707713</v>
      </c>
      <c r="T131" t="s">
        <v>299</v>
      </c>
      <c r="U131" s="5">
        <f t="shared" ref="U131:U144" si="14">C131</f>
        <v>14.4166432419043</v>
      </c>
      <c r="V131" t="s">
        <v>448</v>
      </c>
      <c r="W131" t="s">
        <v>300</v>
      </c>
      <c r="X131" t="s">
        <v>301</v>
      </c>
      <c r="Y131" t="s">
        <v>302</v>
      </c>
    </row>
    <row r="132" spans="1:25" x14ac:dyDescent="0.25">
      <c r="A132" t="s">
        <v>131</v>
      </c>
      <c r="B132">
        <v>11.098986425552701</v>
      </c>
      <c r="C132">
        <v>5.1055297506135302</v>
      </c>
      <c r="D132" s="11" t="s">
        <v>275</v>
      </c>
      <c r="F132" s="8" t="str">
        <f t="shared" si="10"/>
        <v>New "Load.m2_trf_5286967a" bus1="82029725286967.1.2.3.4" phases=3 conn=Wye model=3 kv=0.380 kw=11,0989864255527 kvar=5,10552975061353 daily="CURVA" status=variable vmaxpu=1.5 vminpu=0.92</v>
      </c>
      <c r="G132" t="s">
        <v>290</v>
      </c>
      <c r="H132" t="s">
        <v>303</v>
      </c>
      <c r="I132" s="5" t="str">
        <f t="shared" si="11"/>
        <v>m2_trf_5286967a</v>
      </c>
      <c r="J132" t="s">
        <v>291</v>
      </c>
      <c r="K132" t="s">
        <v>292</v>
      </c>
      <c r="L132" s="13" t="str">
        <f t="shared" si="12"/>
        <v>82029725286967</v>
      </c>
      <c r="M132" t="s">
        <v>293</v>
      </c>
      <c r="N132" t="s">
        <v>294</v>
      </c>
      <c r="O132" t="s">
        <v>295</v>
      </c>
      <c r="P132" t="s">
        <v>296</v>
      </c>
      <c r="Q132" t="s">
        <v>297</v>
      </c>
      <c r="R132" t="s">
        <v>298</v>
      </c>
      <c r="S132" s="5">
        <f t="shared" si="13"/>
        <v>11.098986425552701</v>
      </c>
      <c r="T132" t="s">
        <v>299</v>
      </c>
      <c r="U132" s="5">
        <f t="shared" si="14"/>
        <v>5.1055297506135302</v>
      </c>
      <c r="V132" t="s">
        <v>448</v>
      </c>
      <c r="W132" t="s">
        <v>300</v>
      </c>
      <c r="X132" t="s">
        <v>301</v>
      </c>
      <c r="Y132" t="s">
        <v>302</v>
      </c>
    </row>
    <row r="133" spans="1:25" x14ac:dyDescent="0.25">
      <c r="A133" t="s">
        <v>132</v>
      </c>
      <c r="B133">
        <v>0.85231464726463202</v>
      </c>
      <c r="C133">
        <v>0.39804218561927701</v>
      </c>
      <c r="D133" s="11" t="s">
        <v>276</v>
      </c>
      <c r="F133" s="8" t="str">
        <f t="shared" si="10"/>
        <v>New "Load.m2_trf_5647498a" bus1="93119985647498.1.2.3.4" phases=3 conn=Wye model=3 kv=0.380 kw=0,852314647264632 kvar=0,398042185619277 daily="CURVA" status=variable vmaxpu=1.5 vminpu=0.92</v>
      </c>
      <c r="G133" t="s">
        <v>290</v>
      </c>
      <c r="H133" t="s">
        <v>303</v>
      </c>
      <c r="I133" s="5" t="str">
        <f t="shared" si="11"/>
        <v>m2_trf_5647498a</v>
      </c>
      <c r="J133" t="s">
        <v>291</v>
      </c>
      <c r="K133" t="s">
        <v>292</v>
      </c>
      <c r="L133" s="13" t="str">
        <f t="shared" si="12"/>
        <v>93119985647498</v>
      </c>
      <c r="M133" t="s">
        <v>293</v>
      </c>
      <c r="N133" t="s">
        <v>294</v>
      </c>
      <c r="O133" t="s">
        <v>295</v>
      </c>
      <c r="P133" t="s">
        <v>296</v>
      </c>
      <c r="Q133" t="s">
        <v>297</v>
      </c>
      <c r="R133" t="s">
        <v>298</v>
      </c>
      <c r="S133" s="5">
        <f t="shared" si="13"/>
        <v>0.85231464726463202</v>
      </c>
      <c r="T133" t="s">
        <v>299</v>
      </c>
      <c r="U133" s="5">
        <f t="shared" si="14"/>
        <v>0.39804218561927701</v>
      </c>
      <c r="V133" t="s">
        <v>448</v>
      </c>
      <c r="W133" t="s">
        <v>300</v>
      </c>
      <c r="X133" t="s">
        <v>301</v>
      </c>
      <c r="Y133" t="s">
        <v>302</v>
      </c>
    </row>
    <row r="134" spans="1:25" x14ac:dyDescent="0.25">
      <c r="A134" t="s">
        <v>133</v>
      </c>
      <c r="B134">
        <v>16.220613104441199</v>
      </c>
      <c r="C134">
        <v>7.3270117139730502</v>
      </c>
      <c r="D134" s="11" t="s">
        <v>277</v>
      </c>
      <c r="F134" s="8" t="str">
        <f t="shared" si="10"/>
        <v>New "Load.m2_trf_5688575a" bus1="82054155688575.1.2.3.4" phases=3 conn=Wye model=3 kv=0.380 kw=16,2206131044412 kvar=7,32701171397305 daily="CURVA" status=variable vmaxpu=1.5 vminpu=0.92</v>
      </c>
      <c r="G134" t="s">
        <v>290</v>
      </c>
      <c r="H134" t="s">
        <v>303</v>
      </c>
      <c r="I134" s="5" t="str">
        <f t="shared" si="11"/>
        <v>m2_trf_5688575a</v>
      </c>
      <c r="J134" t="s">
        <v>291</v>
      </c>
      <c r="K134" t="s">
        <v>292</v>
      </c>
      <c r="L134" s="13" t="str">
        <f t="shared" si="12"/>
        <v>82054155688575</v>
      </c>
      <c r="M134" t="s">
        <v>293</v>
      </c>
      <c r="N134" t="s">
        <v>294</v>
      </c>
      <c r="O134" t="s">
        <v>295</v>
      </c>
      <c r="P134" t="s">
        <v>296</v>
      </c>
      <c r="Q134" t="s">
        <v>297</v>
      </c>
      <c r="R134" t="s">
        <v>298</v>
      </c>
      <c r="S134" s="5">
        <f t="shared" si="13"/>
        <v>16.220613104441199</v>
      </c>
      <c r="T134" t="s">
        <v>299</v>
      </c>
      <c r="U134" s="5">
        <f t="shared" si="14"/>
        <v>7.3270117139730502</v>
      </c>
      <c r="V134" t="s">
        <v>448</v>
      </c>
      <c r="W134" t="s">
        <v>300</v>
      </c>
      <c r="X134" t="s">
        <v>301</v>
      </c>
      <c r="Y134" t="s">
        <v>302</v>
      </c>
    </row>
    <row r="135" spans="1:25" x14ac:dyDescent="0.25">
      <c r="A135" t="s">
        <v>134</v>
      </c>
      <c r="B135">
        <v>11.813004972118501</v>
      </c>
      <c r="C135">
        <v>5.5066313673186604</v>
      </c>
      <c r="D135" s="11" t="s">
        <v>278</v>
      </c>
      <c r="F135" s="8" t="str">
        <f t="shared" si="10"/>
        <v>New "Load.m2_trf_5675373a" bus1="93945325675373.1.2.3.4" phases=3 conn=Wye model=3 kv=0.380 kw=11,8130049721185 kvar=5,50663136731866 daily="CURVA" status=variable vmaxpu=1.5 vminpu=0.92</v>
      </c>
      <c r="G135" t="s">
        <v>290</v>
      </c>
      <c r="H135" t="s">
        <v>303</v>
      </c>
      <c r="I135" s="5" t="str">
        <f t="shared" si="11"/>
        <v>m2_trf_5675373a</v>
      </c>
      <c r="J135" t="s">
        <v>291</v>
      </c>
      <c r="K135" t="s">
        <v>292</v>
      </c>
      <c r="L135" s="13" t="str">
        <f t="shared" si="12"/>
        <v>93945325675373</v>
      </c>
      <c r="M135" t="s">
        <v>293</v>
      </c>
      <c r="N135" t="s">
        <v>294</v>
      </c>
      <c r="O135" t="s">
        <v>295</v>
      </c>
      <c r="P135" t="s">
        <v>296</v>
      </c>
      <c r="Q135" t="s">
        <v>297</v>
      </c>
      <c r="R135" t="s">
        <v>298</v>
      </c>
      <c r="S135" s="5">
        <f t="shared" si="13"/>
        <v>11.813004972118501</v>
      </c>
      <c r="T135" t="s">
        <v>299</v>
      </c>
      <c r="U135" s="5">
        <f t="shared" si="14"/>
        <v>5.5066313673186604</v>
      </c>
      <c r="V135" t="s">
        <v>448</v>
      </c>
      <c r="W135" t="s">
        <v>300</v>
      </c>
      <c r="X135" t="s">
        <v>301</v>
      </c>
      <c r="Y135" t="s">
        <v>302</v>
      </c>
    </row>
    <row r="136" spans="1:25" x14ac:dyDescent="0.25">
      <c r="A136" t="s">
        <v>135</v>
      </c>
      <c r="B136">
        <v>13.2372308211419</v>
      </c>
      <c r="C136">
        <v>6.1362351454870598</v>
      </c>
      <c r="D136" s="11" t="s">
        <v>279</v>
      </c>
      <c r="F136" s="8" t="str">
        <f t="shared" si="10"/>
        <v>New "Load.m2_trf_5323939a" bus1="84503635323939.1.2.3.4" phases=3 conn=Wye model=3 kv=0.380 kw=13,2372308211419 kvar=6,13623514548706 daily="CURVA" status=variable vmaxpu=1.5 vminpu=0.92</v>
      </c>
      <c r="G136" t="s">
        <v>290</v>
      </c>
      <c r="H136" t="s">
        <v>303</v>
      </c>
      <c r="I136" s="5" t="str">
        <f t="shared" si="11"/>
        <v>m2_trf_5323939a</v>
      </c>
      <c r="J136" t="s">
        <v>291</v>
      </c>
      <c r="K136" t="s">
        <v>292</v>
      </c>
      <c r="L136" s="13" t="str">
        <f t="shared" si="12"/>
        <v>84503635323939</v>
      </c>
      <c r="M136" t="s">
        <v>293</v>
      </c>
      <c r="N136" t="s">
        <v>294</v>
      </c>
      <c r="O136" t="s">
        <v>295</v>
      </c>
      <c r="P136" t="s">
        <v>296</v>
      </c>
      <c r="Q136" t="s">
        <v>297</v>
      </c>
      <c r="R136" t="s">
        <v>298</v>
      </c>
      <c r="S136" s="5">
        <f t="shared" si="13"/>
        <v>13.2372308211419</v>
      </c>
      <c r="T136" t="s">
        <v>299</v>
      </c>
      <c r="U136" s="5">
        <f t="shared" si="14"/>
        <v>6.1362351454870598</v>
      </c>
      <c r="V136" t="s">
        <v>448</v>
      </c>
      <c r="W136" t="s">
        <v>300</v>
      </c>
      <c r="X136" t="s">
        <v>301</v>
      </c>
      <c r="Y136" t="s">
        <v>302</v>
      </c>
    </row>
    <row r="137" spans="1:25" x14ac:dyDescent="0.25">
      <c r="A137" t="s">
        <v>136</v>
      </c>
      <c r="B137">
        <v>0.23246730096850499</v>
      </c>
      <c r="C137">
        <v>0.111740407295068</v>
      </c>
      <c r="D137" s="11" t="s">
        <v>280</v>
      </c>
      <c r="F137" s="8" t="str">
        <f t="shared" si="10"/>
        <v>New "Load.m2_trf_5702287a" bus1="90017935702287.1.2.3.4" phases=3 conn=Wye model=3 kv=0.380 kw=0,232467300968505 kvar=0,111740407295068 daily="CURVA" status=variable vmaxpu=1.5 vminpu=0.92</v>
      </c>
      <c r="G137" t="s">
        <v>290</v>
      </c>
      <c r="H137" t="s">
        <v>303</v>
      </c>
      <c r="I137" s="5" t="str">
        <f t="shared" si="11"/>
        <v>m2_trf_5702287a</v>
      </c>
      <c r="J137" t="s">
        <v>291</v>
      </c>
      <c r="K137" t="s">
        <v>292</v>
      </c>
      <c r="L137" s="13" t="str">
        <f t="shared" si="12"/>
        <v>90017935702287</v>
      </c>
      <c r="M137" t="s">
        <v>293</v>
      </c>
      <c r="N137" t="s">
        <v>294</v>
      </c>
      <c r="O137" t="s">
        <v>295</v>
      </c>
      <c r="P137" t="s">
        <v>296</v>
      </c>
      <c r="Q137" t="s">
        <v>297</v>
      </c>
      <c r="R137" t="s">
        <v>298</v>
      </c>
      <c r="S137" s="5">
        <f t="shared" si="13"/>
        <v>0.23246730096850499</v>
      </c>
      <c r="T137" t="s">
        <v>299</v>
      </c>
      <c r="U137" s="5">
        <f t="shared" si="14"/>
        <v>0.111740407295068</v>
      </c>
      <c r="V137" t="s">
        <v>448</v>
      </c>
      <c r="W137" t="s">
        <v>300</v>
      </c>
      <c r="X137" t="s">
        <v>301</v>
      </c>
      <c r="Y137" t="s">
        <v>302</v>
      </c>
    </row>
    <row r="138" spans="1:25" x14ac:dyDescent="0.25">
      <c r="A138" t="s">
        <v>137</v>
      </c>
      <c r="B138">
        <v>6.7570362049787303</v>
      </c>
      <c r="C138">
        <v>3.2073009516324298</v>
      </c>
      <c r="D138" s="11" t="s">
        <v>281</v>
      </c>
      <c r="F138" s="8" t="str">
        <f t="shared" si="10"/>
        <v>New "Load.m2_trf_5713817a" bus1="82034385713817.1.2.3.4" phases=3 conn=Wye model=3 kv=0.380 kw=6,75703620497873 kvar=3,20730095163243 daily="CURVA" status=variable vmaxpu=1.5 vminpu=0.92</v>
      </c>
      <c r="G138" t="s">
        <v>290</v>
      </c>
      <c r="H138" t="s">
        <v>303</v>
      </c>
      <c r="I138" s="5" t="str">
        <f t="shared" si="11"/>
        <v>m2_trf_5713817a</v>
      </c>
      <c r="J138" t="s">
        <v>291</v>
      </c>
      <c r="K138" t="s">
        <v>292</v>
      </c>
      <c r="L138" s="13" t="str">
        <f t="shared" si="12"/>
        <v>82034385713817</v>
      </c>
      <c r="M138" t="s">
        <v>293</v>
      </c>
      <c r="N138" t="s">
        <v>294</v>
      </c>
      <c r="O138" t="s">
        <v>295</v>
      </c>
      <c r="P138" t="s">
        <v>296</v>
      </c>
      <c r="Q138" t="s">
        <v>297</v>
      </c>
      <c r="R138" t="s">
        <v>298</v>
      </c>
      <c r="S138" s="5">
        <f t="shared" si="13"/>
        <v>6.7570362049787303</v>
      </c>
      <c r="T138" t="s">
        <v>299</v>
      </c>
      <c r="U138" s="5">
        <f t="shared" si="14"/>
        <v>3.2073009516324298</v>
      </c>
      <c r="V138" t="s">
        <v>448</v>
      </c>
      <c r="W138" t="s">
        <v>300</v>
      </c>
      <c r="X138" t="s">
        <v>301</v>
      </c>
      <c r="Y138" t="s">
        <v>302</v>
      </c>
    </row>
    <row r="139" spans="1:25" x14ac:dyDescent="0.25">
      <c r="A139" t="s">
        <v>138</v>
      </c>
      <c r="B139">
        <v>7.8571787043294696</v>
      </c>
      <c r="C139">
        <v>3.7253522711668698</v>
      </c>
      <c r="D139" s="11" t="s">
        <v>282</v>
      </c>
      <c r="F139" s="8" t="str">
        <f t="shared" si="10"/>
        <v>New "Load.m2_trf_5719448a" bus1="95141555719448.1.2.3.4" phases=3 conn=Wye model=3 kv=0.380 kw=7,85717870432947 kvar=3,72535227116687 daily="CURVA" status=variable vmaxpu=1.5 vminpu=0.92</v>
      </c>
      <c r="G139" t="s">
        <v>290</v>
      </c>
      <c r="H139" t="s">
        <v>303</v>
      </c>
      <c r="I139" s="5" t="str">
        <f t="shared" si="11"/>
        <v>m2_trf_5719448a</v>
      </c>
      <c r="J139" t="s">
        <v>291</v>
      </c>
      <c r="K139" t="s">
        <v>292</v>
      </c>
      <c r="L139" s="13" t="str">
        <f t="shared" si="12"/>
        <v>95141555719448</v>
      </c>
      <c r="M139" t="s">
        <v>293</v>
      </c>
      <c r="N139" t="s">
        <v>294</v>
      </c>
      <c r="O139" t="s">
        <v>295</v>
      </c>
      <c r="P139" t="s">
        <v>296</v>
      </c>
      <c r="Q139" t="s">
        <v>297</v>
      </c>
      <c r="R139" t="s">
        <v>298</v>
      </c>
      <c r="S139" s="5">
        <f t="shared" si="13"/>
        <v>7.8571787043294696</v>
      </c>
      <c r="T139" t="s">
        <v>299</v>
      </c>
      <c r="U139" s="5">
        <f t="shared" si="14"/>
        <v>3.7253522711668698</v>
      </c>
      <c r="V139" t="s">
        <v>448</v>
      </c>
      <c r="W139" t="s">
        <v>300</v>
      </c>
      <c r="X139" t="s">
        <v>301</v>
      </c>
      <c r="Y139" t="s">
        <v>302</v>
      </c>
    </row>
    <row r="140" spans="1:25" x14ac:dyDescent="0.25">
      <c r="A140" t="s">
        <v>139</v>
      </c>
      <c r="B140">
        <v>26.225424940544301</v>
      </c>
      <c r="C140">
        <v>12.130865974971799</v>
      </c>
      <c r="D140" s="11" t="s">
        <v>283</v>
      </c>
      <c r="F140" s="8" t="str">
        <f t="shared" si="10"/>
        <v>New "Load.m2_trf_5333902a" bus1="85167275333902.1.2.3.4" phases=3 conn=Wye model=3 kv=0.380 kw=26,2254249405443 kvar=12,1308659749718 daily="CURVA" status=variable vmaxpu=1.5 vminpu=0.92</v>
      </c>
      <c r="G140" t="s">
        <v>290</v>
      </c>
      <c r="H140" t="s">
        <v>303</v>
      </c>
      <c r="I140" s="5" t="str">
        <f t="shared" si="11"/>
        <v>m2_trf_5333902a</v>
      </c>
      <c r="J140" t="s">
        <v>291</v>
      </c>
      <c r="K140" t="s">
        <v>292</v>
      </c>
      <c r="L140" s="13" t="str">
        <f t="shared" si="12"/>
        <v>85167275333902</v>
      </c>
      <c r="M140" t="s">
        <v>293</v>
      </c>
      <c r="N140" t="s">
        <v>294</v>
      </c>
      <c r="O140" t="s">
        <v>295</v>
      </c>
      <c r="P140" t="s">
        <v>296</v>
      </c>
      <c r="Q140" t="s">
        <v>297</v>
      </c>
      <c r="R140" t="s">
        <v>298</v>
      </c>
      <c r="S140" s="5">
        <f t="shared" si="13"/>
        <v>26.225424940544301</v>
      </c>
      <c r="T140" t="s">
        <v>299</v>
      </c>
      <c r="U140" s="5">
        <f t="shared" si="14"/>
        <v>12.130865974971799</v>
      </c>
      <c r="V140" t="s">
        <v>448</v>
      </c>
      <c r="W140" t="s">
        <v>300</v>
      </c>
      <c r="X140" t="s">
        <v>301</v>
      </c>
      <c r="Y140" t="s">
        <v>302</v>
      </c>
    </row>
    <row r="141" spans="1:25" x14ac:dyDescent="0.25">
      <c r="A141" t="s">
        <v>140</v>
      </c>
      <c r="B141">
        <v>14.5905864350407</v>
      </c>
      <c r="C141">
        <v>6.6429664934662904</v>
      </c>
      <c r="D141" s="11" t="s">
        <v>284</v>
      </c>
      <c r="F141" s="8" t="str">
        <f t="shared" si="10"/>
        <v>New "Load.m2_trf_5740255a" bus1="82056945740255.1.2.3.4" phases=3 conn=Wye model=3 kv=0.380 kw=14,5905864350407 kvar=6,64296649346629 daily="CURVA" status=variable vmaxpu=1.5 vminpu=0.92</v>
      </c>
      <c r="G141" t="s">
        <v>290</v>
      </c>
      <c r="H141" t="s">
        <v>303</v>
      </c>
      <c r="I141" s="5" t="str">
        <f t="shared" si="11"/>
        <v>m2_trf_5740255a</v>
      </c>
      <c r="J141" t="s">
        <v>291</v>
      </c>
      <c r="K141" t="s">
        <v>292</v>
      </c>
      <c r="L141" s="13" t="str">
        <f t="shared" si="12"/>
        <v>82056945740255</v>
      </c>
      <c r="M141" t="s">
        <v>293</v>
      </c>
      <c r="N141" t="s">
        <v>294</v>
      </c>
      <c r="O141" t="s">
        <v>295</v>
      </c>
      <c r="P141" t="s">
        <v>296</v>
      </c>
      <c r="Q141" t="s">
        <v>297</v>
      </c>
      <c r="R141" t="s">
        <v>298</v>
      </c>
      <c r="S141" s="5">
        <f t="shared" si="13"/>
        <v>14.5905864350407</v>
      </c>
      <c r="T141" t="s">
        <v>299</v>
      </c>
      <c r="U141" s="5">
        <f t="shared" si="14"/>
        <v>6.6429664934662904</v>
      </c>
      <c r="V141" t="s">
        <v>448</v>
      </c>
      <c r="W141" t="s">
        <v>300</v>
      </c>
      <c r="X141" t="s">
        <v>301</v>
      </c>
      <c r="Y141" t="s">
        <v>302</v>
      </c>
    </row>
    <row r="142" spans="1:25" x14ac:dyDescent="0.25">
      <c r="A142" t="s">
        <v>141</v>
      </c>
      <c r="B142">
        <v>12.2445576749837</v>
      </c>
      <c r="C142">
        <v>5.5879303058404997</v>
      </c>
      <c r="D142" s="11" t="s">
        <v>285</v>
      </c>
      <c r="F142" s="8" t="str">
        <f t="shared" si="10"/>
        <v>New "Load.m2_trf_5740270a" bus1="96033635740270.1.2.3.4" phases=3 conn=Wye model=3 kv=0.380 kw=12,2445576749837 kvar=5,5879303058405 daily="CURVA" status=variable vmaxpu=1.5 vminpu=0.92</v>
      </c>
      <c r="G142" t="s">
        <v>290</v>
      </c>
      <c r="H142" t="s">
        <v>303</v>
      </c>
      <c r="I142" s="5" t="str">
        <f t="shared" si="11"/>
        <v>m2_trf_5740270a</v>
      </c>
      <c r="J142" t="s">
        <v>291</v>
      </c>
      <c r="K142" t="s">
        <v>292</v>
      </c>
      <c r="L142" s="13" t="str">
        <f t="shared" si="12"/>
        <v>96033635740270</v>
      </c>
      <c r="M142" t="s">
        <v>293</v>
      </c>
      <c r="N142" t="s">
        <v>294</v>
      </c>
      <c r="O142" t="s">
        <v>295</v>
      </c>
      <c r="P142" t="s">
        <v>296</v>
      </c>
      <c r="Q142" t="s">
        <v>297</v>
      </c>
      <c r="R142" t="s">
        <v>298</v>
      </c>
      <c r="S142" s="5">
        <f t="shared" si="13"/>
        <v>12.2445576749837</v>
      </c>
      <c r="T142" t="s">
        <v>299</v>
      </c>
      <c r="U142" s="5">
        <f t="shared" si="14"/>
        <v>5.5879303058404997</v>
      </c>
      <c r="V142" t="s">
        <v>448</v>
      </c>
      <c r="W142" t="s">
        <v>300</v>
      </c>
      <c r="X142" t="s">
        <v>301</v>
      </c>
      <c r="Y142" t="s">
        <v>302</v>
      </c>
    </row>
    <row r="143" spans="1:25" x14ac:dyDescent="0.25">
      <c r="A143" t="s">
        <v>142</v>
      </c>
      <c r="B143">
        <v>16.432047565832299</v>
      </c>
      <c r="C143">
        <v>7.6186309665574399</v>
      </c>
      <c r="D143" s="11" t="s">
        <v>286</v>
      </c>
      <c r="F143" s="8" t="str">
        <f t="shared" si="10"/>
        <v>New "Load.m2_trf_5744153a" bus1="96264655744153.1.2.3.4" phases=3 conn=Wye model=3 kv=0.380 kw=16,4320475658323 kvar=7,61863096655744 daily="CURVA" status=variable vmaxpu=1.5 vminpu=0.92</v>
      </c>
      <c r="G143" t="s">
        <v>290</v>
      </c>
      <c r="H143" t="s">
        <v>303</v>
      </c>
      <c r="I143" s="5" t="str">
        <f t="shared" si="11"/>
        <v>m2_trf_5744153a</v>
      </c>
      <c r="J143" t="s">
        <v>291</v>
      </c>
      <c r="K143" t="s">
        <v>292</v>
      </c>
      <c r="L143" s="13" t="str">
        <f t="shared" si="12"/>
        <v>96264655744153</v>
      </c>
      <c r="M143" t="s">
        <v>293</v>
      </c>
      <c r="N143" t="s">
        <v>294</v>
      </c>
      <c r="O143" t="s">
        <v>295</v>
      </c>
      <c r="P143" t="s">
        <v>296</v>
      </c>
      <c r="Q143" t="s">
        <v>297</v>
      </c>
      <c r="R143" t="s">
        <v>298</v>
      </c>
      <c r="S143" s="5">
        <f t="shared" si="13"/>
        <v>16.432047565832299</v>
      </c>
      <c r="T143" t="s">
        <v>299</v>
      </c>
      <c r="U143" s="5">
        <f t="shared" si="14"/>
        <v>7.6186309665574399</v>
      </c>
      <c r="V143" t="s">
        <v>448</v>
      </c>
      <c r="W143" t="s">
        <v>300</v>
      </c>
      <c r="X143" t="s">
        <v>301</v>
      </c>
      <c r="Y143" t="s">
        <v>302</v>
      </c>
    </row>
    <row r="144" spans="1:25" x14ac:dyDescent="0.25">
      <c r="A144" t="s">
        <v>143</v>
      </c>
      <c r="B144">
        <v>11.0902798793934</v>
      </c>
      <c r="C144">
        <v>5.0629969355536897</v>
      </c>
      <c r="D144" s="11" t="s">
        <v>287</v>
      </c>
      <c r="F144" s="8" t="str">
        <f t="shared" si="10"/>
        <v>New "Load.m2_trf_5444435a" bus1="81481405444435.1.2.3.4" phases=3 conn=Wye model=3 kv=0.380 kw=11,0902798793934 kvar=5,06299693555369 daily="CURVA" status=variable vmaxpu=1.5 vminpu=0.92</v>
      </c>
      <c r="G144" t="s">
        <v>290</v>
      </c>
      <c r="H144" t="s">
        <v>303</v>
      </c>
      <c r="I144" s="5" t="str">
        <f t="shared" si="11"/>
        <v>m2_trf_5444435a</v>
      </c>
      <c r="J144" t="s">
        <v>291</v>
      </c>
      <c r="K144" t="s">
        <v>292</v>
      </c>
      <c r="L144" s="13" t="str">
        <f t="shared" si="12"/>
        <v>81481405444435</v>
      </c>
      <c r="M144" t="s">
        <v>293</v>
      </c>
      <c r="N144" t="s">
        <v>294</v>
      </c>
      <c r="O144" t="s">
        <v>295</v>
      </c>
      <c r="P144" t="s">
        <v>296</v>
      </c>
      <c r="Q144" t="s">
        <v>297</v>
      </c>
      <c r="R144" t="s">
        <v>298</v>
      </c>
      <c r="S144" s="5">
        <f t="shared" si="13"/>
        <v>11.0902798793934</v>
      </c>
      <c r="T144" t="s">
        <v>299</v>
      </c>
      <c r="U144" s="5">
        <f t="shared" si="14"/>
        <v>5.0629969355536897</v>
      </c>
      <c r="V144" t="s">
        <v>448</v>
      </c>
      <c r="W144" t="s">
        <v>300</v>
      </c>
      <c r="X144" t="s">
        <v>301</v>
      </c>
      <c r="Y144" t="s">
        <v>302</v>
      </c>
    </row>
    <row r="145" spans="1:25" s="3" customFormat="1" x14ac:dyDescent="0.25">
      <c r="A145" s="3" t="s">
        <v>305</v>
      </c>
      <c r="B145" s="3">
        <v>0.26882937398617601</v>
      </c>
      <c r="C145" s="3">
        <v>0.12947869629823899</v>
      </c>
      <c r="D145" s="12" t="s">
        <v>145</v>
      </c>
      <c r="F145" s="9" t="str">
        <f t="shared" ref="F145:F208" si="15">_xlfn.CONCAT(G145:Y145)</f>
        <v>New "Load.m1_trf_5286699a" bus1="82034475286699.1.2.3.4" phases=3 conn=Wye model=2 kv=0.380 kw=0,268829373986176 kvar=0,129478696298239 daily="CURVA" status=variable vmaxpu=1.5 vminpu=0.92</v>
      </c>
      <c r="G145" s="3" t="s">
        <v>290</v>
      </c>
      <c r="H145" s="3" t="s">
        <v>303</v>
      </c>
      <c r="I145" s="6" t="str">
        <f>A145</f>
        <v>m1_trf_5286699a</v>
      </c>
      <c r="J145" s="3" t="s">
        <v>291</v>
      </c>
      <c r="K145" s="3" t="s">
        <v>292</v>
      </c>
      <c r="L145" s="14" t="str">
        <f>D145</f>
        <v>82034475286699</v>
      </c>
      <c r="M145" s="3" t="s">
        <v>293</v>
      </c>
      <c r="N145" s="3" t="s">
        <v>294</v>
      </c>
      <c r="O145" s="3" t="s">
        <v>295</v>
      </c>
      <c r="P145" s="3" t="s">
        <v>304</v>
      </c>
      <c r="Q145" s="3" t="s">
        <v>297</v>
      </c>
      <c r="R145" s="3" t="s">
        <v>298</v>
      </c>
      <c r="S145" s="6">
        <f>B145</f>
        <v>0.26882937398617601</v>
      </c>
      <c r="T145" s="3" t="s">
        <v>299</v>
      </c>
      <c r="U145" s="6">
        <f>C145</f>
        <v>0.12947869629823899</v>
      </c>
      <c r="V145" t="s">
        <v>448</v>
      </c>
      <c r="W145" s="3" t="s">
        <v>300</v>
      </c>
      <c r="X145" s="3" t="s">
        <v>301</v>
      </c>
      <c r="Y145" s="3" t="s">
        <v>302</v>
      </c>
    </row>
    <row r="146" spans="1:25" x14ac:dyDescent="0.25">
      <c r="A146" t="s">
        <v>306</v>
      </c>
      <c r="B146">
        <v>13.2972889285625</v>
      </c>
      <c r="C146">
        <v>6.4118971886900002</v>
      </c>
      <c r="D146" s="11" t="s">
        <v>146</v>
      </c>
      <c r="F146" s="8" t="str">
        <f t="shared" si="15"/>
        <v>New "Load.m1_trf_5286707a" bus1="82034835286707.1.2.3.4" phases=3 conn=Wye model=2 kv=0.380 kw=13,2972889285625 kvar=6,41189718869 daily="CURVA" status=variable vmaxpu=1.5 vminpu=0.92</v>
      </c>
      <c r="G146" t="s">
        <v>290</v>
      </c>
      <c r="H146" t="s">
        <v>303</v>
      </c>
      <c r="I146" s="5" t="str">
        <f t="shared" ref="I146:I209" si="16">A146</f>
        <v>m1_trf_5286707a</v>
      </c>
      <c r="J146" t="s">
        <v>291</v>
      </c>
      <c r="K146" t="s">
        <v>292</v>
      </c>
      <c r="L146" s="13" t="str">
        <f t="shared" ref="L146:L209" si="17">D146</f>
        <v>82034835286707</v>
      </c>
      <c r="M146" t="s">
        <v>293</v>
      </c>
      <c r="N146" t="s">
        <v>294</v>
      </c>
      <c r="O146" t="s">
        <v>295</v>
      </c>
      <c r="P146" t="s">
        <v>304</v>
      </c>
      <c r="Q146" t="s">
        <v>297</v>
      </c>
      <c r="R146" t="s">
        <v>298</v>
      </c>
      <c r="S146" s="5">
        <f t="shared" ref="S146:S209" si="18">B146</f>
        <v>13.2972889285625</v>
      </c>
      <c r="T146" t="s">
        <v>299</v>
      </c>
      <c r="U146" s="5">
        <f t="shared" ref="U146:U209" si="19">C146</f>
        <v>6.4118971886900002</v>
      </c>
      <c r="V146" t="s">
        <v>448</v>
      </c>
      <c r="W146" t="s">
        <v>300</v>
      </c>
      <c r="X146" t="s">
        <v>301</v>
      </c>
      <c r="Y146" t="s">
        <v>302</v>
      </c>
    </row>
    <row r="147" spans="1:25" x14ac:dyDescent="0.25">
      <c r="A147" t="s">
        <v>307</v>
      </c>
      <c r="B147">
        <v>1.1683607006336501</v>
      </c>
      <c r="C147">
        <v>0.56933453622498498</v>
      </c>
      <c r="D147" s="11" t="s">
        <v>147</v>
      </c>
      <c r="F147" s="8" t="str">
        <f t="shared" si="15"/>
        <v>New "Load.m1_trf_5286708a" bus1="82034845286708.1.2.3.4" phases=3 conn=Wye model=2 kv=0.380 kw=1,16836070063365 kvar=0,569334536224985 daily="CURVA" status=variable vmaxpu=1.5 vminpu=0.92</v>
      </c>
      <c r="G147" t="s">
        <v>290</v>
      </c>
      <c r="H147" t="s">
        <v>303</v>
      </c>
      <c r="I147" s="5" t="str">
        <f t="shared" si="16"/>
        <v>m1_trf_5286708a</v>
      </c>
      <c r="J147" t="s">
        <v>291</v>
      </c>
      <c r="K147" t="s">
        <v>292</v>
      </c>
      <c r="L147" s="13" t="str">
        <f t="shared" si="17"/>
        <v>82034845286708</v>
      </c>
      <c r="M147" t="s">
        <v>293</v>
      </c>
      <c r="N147" t="s">
        <v>294</v>
      </c>
      <c r="O147" t="s">
        <v>295</v>
      </c>
      <c r="P147" t="s">
        <v>304</v>
      </c>
      <c r="Q147" t="s">
        <v>297</v>
      </c>
      <c r="R147" t="s">
        <v>298</v>
      </c>
      <c r="S147" s="5">
        <f t="shared" si="18"/>
        <v>1.1683607006336501</v>
      </c>
      <c r="T147" t="s">
        <v>299</v>
      </c>
      <c r="U147" s="5">
        <f t="shared" si="19"/>
        <v>0.56933453622498498</v>
      </c>
      <c r="V147" t="s">
        <v>448</v>
      </c>
      <c r="W147" t="s">
        <v>300</v>
      </c>
      <c r="X147" t="s">
        <v>301</v>
      </c>
      <c r="Y147" t="s">
        <v>302</v>
      </c>
    </row>
    <row r="148" spans="1:25" x14ac:dyDescent="0.25">
      <c r="A148" t="s">
        <v>308</v>
      </c>
      <c r="B148">
        <v>2.2912988704374699</v>
      </c>
      <c r="C148">
        <v>1.06907255061507</v>
      </c>
      <c r="D148" s="11" t="s">
        <v>148</v>
      </c>
      <c r="F148" s="8" t="str">
        <f t="shared" si="15"/>
        <v>New "Load.m1_trf_5286718a" bus1="82053655286718.1.2.3.4" phases=3 conn=Wye model=2 kv=0.380 kw=2,29129887043747 kvar=1,06907255061507 daily="CURVA" status=variable vmaxpu=1.5 vminpu=0.92</v>
      </c>
      <c r="G148" t="s">
        <v>290</v>
      </c>
      <c r="H148" t="s">
        <v>303</v>
      </c>
      <c r="I148" s="5" t="str">
        <f t="shared" si="16"/>
        <v>m1_trf_5286718a</v>
      </c>
      <c r="J148" t="s">
        <v>291</v>
      </c>
      <c r="K148" t="s">
        <v>292</v>
      </c>
      <c r="L148" s="13" t="str">
        <f t="shared" si="17"/>
        <v>82053655286718</v>
      </c>
      <c r="M148" t="s">
        <v>293</v>
      </c>
      <c r="N148" t="s">
        <v>294</v>
      </c>
      <c r="O148" t="s">
        <v>295</v>
      </c>
      <c r="P148" t="s">
        <v>304</v>
      </c>
      <c r="Q148" t="s">
        <v>297</v>
      </c>
      <c r="R148" t="s">
        <v>298</v>
      </c>
      <c r="S148" s="5">
        <f t="shared" si="18"/>
        <v>2.2912988704374699</v>
      </c>
      <c r="T148" t="s">
        <v>299</v>
      </c>
      <c r="U148" s="5">
        <f t="shared" si="19"/>
        <v>1.06907255061507</v>
      </c>
      <c r="V148" t="s">
        <v>448</v>
      </c>
      <c r="W148" t="s">
        <v>300</v>
      </c>
      <c r="X148" t="s">
        <v>301</v>
      </c>
      <c r="Y148" t="s">
        <v>302</v>
      </c>
    </row>
    <row r="149" spans="1:25" x14ac:dyDescent="0.25">
      <c r="A149" t="s">
        <v>309</v>
      </c>
      <c r="B149">
        <v>29.717121979540298</v>
      </c>
      <c r="C149">
        <v>13.8571470140063</v>
      </c>
      <c r="D149" s="11" t="s">
        <v>149</v>
      </c>
      <c r="F149" s="8" t="str">
        <f t="shared" si="15"/>
        <v>New "Load.m1_trf_5286787a" bus1="82023305286787.1.2.3.4" phases=3 conn=Wye model=2 kv=0.380 kw=29,7171219795403 kvar=13,8571470140063 daily="CURVA" status=variable vmaxpu=1.5 vminpu=0.92</v>
      </c>
      <c r="G149" t="s">
        <v>290</v>
      </c>
      <c r="H149" t="s">
        <v>303</v>
      </c>
      <c r="I149" s="5" t="str">
        <f t="shared" si="16"/>
        <v>m1_trf_5286787a</v>
      </c>
      <c r="J149" t="s">
        <v>291</v>
      </c>
      <c r="K149" t="s">
        <v>292</v>
      </c>
      <c r="L149" s="13" t="str">
        <f t="shared" si="17"/>
        <v>82023305286787</v>
      </c>
      <c r="M149" t="s">
        <v>293</v>
      </c>
      <c r="N149" t="s">
        <v>294</v>
      </c>
      <c r="O149" t="s">
        <v>295</v>
      </c>
      <c r="P149" t="s">
        <v>304</v>
      </c>
      <c r="Q149" t="s">
        <v>297</v>
      </c>
      <c r="R149" t="s">
        <v>298</v>
      </c>
      <c r="S149" s="5">
        <f t="shared" si="18"/>
        <v>29.717121979540298</v>
      </c>
      <c r="T149" t="s">
        <v>299</v>
      </c>
      <c r="U149" s="5">
        <f t="shared" si="19"/>
        <v>13.8571470140063</v>
      </c>
      <c r="V149" t="s">
        <v>448</v>
      </c>
      <c r="W149" t="s">
        <v>300</v>
      </c>
      <c r="X149" t="s">
        <v>301</v>
      </c>
      <c r="Y149" t="s">
        <v>302</v>
      </c>
    </row>
    <row r="150" spans="1:25" x14ac:dyDescent="0.25">
      <c r="A150" t="s">
        <v>310</v>
      </c>
      <c r="B150">
        <v>48.935203025811603</v>
      </c>
      <c r="C150">
        <v>22.375383851296199</v>
      </c>
      <c r="D150" s="11" t="s">
        <v>150</v>
      </c>
      <c r="F150" s="8" t="str">
        <f t="shared" si="15"/>
        <v>New "Load.m1_trf_5286788a" bus1="82023395286788.1.2.3.4" phases=3 conn=Wye model=2 kv=0.380 kw=48,9352030258116 kvar=22,3753838512962 daily="CURVA" status=variable vmaxpu=1.5 vminpu=0.92</v>
      </c>
      <c r="G150" t="s">
        <v>290</v>
      </c>
      <c r="H150" t="s">
        <v>303</v>
      </c>
      <c r="I150" s="5" t="str">
        <f t="shared" si="16"/>
        <v>m1_trf_5286788a</v>
      </c>
      <c r="J150" t="s">
        <v>291</v>
      </c>
      <c r="K150" t="s">
        <v>292</v>
      </c>
      <c r="L150" s="13" t="str">
        <f t="shared" si="17"/>
        <v>82023395286788</v>
      </c>
      <c r="M150" t="s">
        <v>293</v>
      </c>
      <c r="N150" t="s">
        <v>294</v>
      </c>
      <c r="O150" t="s">
        <v>295</v>
      </c>
      <c r="P150" t="s">
        <v>304</v>
      </c>
      <c r="Q150" t="s">
        <v>297</v>
      </c>
      <c r="R150" t="s">
        <v>298</v>
      </c>
      <c r="S150" s="5">
        <f t="shared" si="18"/>
        <v>48.935203025811603</v>
      </c>
      <c r="T150" t="s">
        <v>299</v>
      </c>
      <c r="U150" s="5">
        <f t="shared" si="19"/>
        <v>22.375383851296199</v>
      </c>
      <c r="V150" t="s">
        <v>448</v>
      </c>
      <c r="W150" t="s">
        <v>300</v>
      </c>
      <c r="X150" t="s">
        <v>301</v>
      </c>
      <c r="Y150" t="s">
        <v>302</v>
      </c>
    </row>
    <row r="151" spans="1:25" x14ac:dyDescent="0.25">
      <c r="A151" t="s">
        <v>311</v>
      </c>
      <c r="B151">
        <v>19.498783732393299</v>
      </c>
      <c r="C151">
        <v>9.0651789386325099</v>
      </c>
      <c r="D151" s="11" t="s">
        <v>151</v>
      </c>
      <c r="F151" s="8" t="str">
        <f t="shared" si="15"/>
        <v>New "Load.m1_trf_5286789a" bus1="82022295286789.1.2.3.4" phases=3 conn=Wye model=2 kv=0.380 kw=19,4987837323933 kvar=9,06517893863251 daily="CURVA" status=variable vmaxpu=1.5 vminpu=0.92</v>
      </c>
      <c r="G151" t="s">
        <v>290</v>
      </c>
      <c r="H151" t="s">
        <v>303</v>
      </c>
      <c r="I151" s="5" t="str">
        <f t="shared" si="16"/>
        <v>m1_trf_5286789a</v>
      </c>
      <c r="J151" t="s">
        <v>291</v>
      </c>
      <c r="K151" t="s">
        <v>292</v>
      </c>
      <c r="L151" s="13" t="str">
        <f t="shared" si="17"/>
        <v>82022295286789</v>
      </c>
      <c r="M151" t="s">
        <v>293</v>
      </c>
      <c r="N151" t="s">
        <v>294</v>
      </c>
      <c r="O151" t="s">
        <v>295</v>
      </c>
      <c r="P151" t="s">
        <v>304</v>
      </c>
      <c r="Q151" t="s">
        <v>297</v>
      </c>
      <c r="R151" t="s">
        <v>298</v>
      </c>
      <c r="S151" s="5">
        <f t="shared" si="18"/>
        <v>19.498783732393299</v>
      </c>
      <c r="T151" t="s">
        <v>299</v>
      </c>
      <c r="U151" s="5">
        <f t="shared" si="19"/>
        <v>9.0651789386325099</v>
      </c>
      <c r="V151" t="s">
        <v>448</v>
      </c>
      <c r="W151" t="s">
        <v>300</v>
      </c>
      <c r="X151" t="s">
        <v>301</v>
      </c>
      <c r="Y151" t="s">
        <v>302</v>
      </c>
    </row>
    <row r="152" spans="1:25" x14ac:dyDescent="0.25">
      <c r="A152" t="s">
        <v>312</v>
      </c>
      <c r="B152">
        <v>30.9748502224353</v>
      </c>
      <c r="C152">
        <v>14.5231031895442</v>
      </c>
      <c r="D152" s="11" t="s">
        <v>152</v>
      </c>
      <c r="F152" s="8" t="str">
        <f t="shared" si="15"/>
        <v>New "Load.m1_trf_5286790a" bus1="82022455286790.1.2.3.4" phases=3 conn=Wye model=2 kv=0.380 kw=30,9748502224353 kvar=14,5231031895442 daily="CURVA" status=variable vmaxpu=1.5 vminpu=0.92</v>
      </c>
      <c r="G152" t="s">
        <v>290</v>
      </c>
      <c r="H152" t="s">
        <v>303</v>
      </c>
      <c r="I152" s="5" t="str">
        <f t="shared" si="16"/>
        <v>m1_trf_5286790a</v>
      </c>
      <c r="J152" t="s">
        <v>291</v>
      </c>
      <c r="K152" t="s">
        <v>292</v>
      </c>
      <c r="L152" s="13" t="str">
        <f t="shared" si="17"/>
        <v>82022455286790</v>
      </c>
      <c r="M152" t="s">
        <v>293</v>
      </c>
      <c r="N152" t="s">
        <v>294</v>
      </c>
      <c r="O152" t="s">
        <v>295</v>
      </c>
      <c r="P152" t="s">
        <v>304</v>
      </c>
      <c r="Q152" t="s">
        <v>297</v>
      </c>
      <c r="R152" t="s">
        <v>298</v>
      </c>
      <c r="S152" s="5">
        <f t="shared" si="18"/>
        <v>30.9748502224353</v>
      </c>
      <c r="T152" t="s">
        <v>299</v>
      </c>
      <c r="U152" s="5">
        <f t="shared" si="19"/>
        <v>14.5231031895442</v>
      </c>
      <c r="V152" t="s">
        <v>448</v>
      </c>
      <c r="W152" t="s">
        <v>300</v>
      </c>
      <c r="X152" t="s">
        <v>301</v>
      </c>
      <c r="Y152" t="s">
        <v>302</v>
      </c>
    </row>
    <row r="153" spans="1:25" x14ac:dyDescent="0.25">
      <c r="A153" t="s">
        <v>313</v>
      </c>
      <c r="B153">
        <v>35.788287446147699</v>
      </c>
      <c r="C153">
        <v>16.648535216187</v>
      </c>
      <c r="D153" s="11" t="s">
        <v>153</v>
      </c>
      <c r="F153" s="8" t="str">
        <f t="shared" si="15"/>
        <v>New "Load.m1_trf_5286791a" bus1="82022605286791.1.2.3.4" phases=3 conn=Wye model=2 kv=0.380 kw=35,7882874461477 kvar=16,648535216187 daily="CURVA" status=variable vmaxpu=1.5 vminpu=0.92</v>
      </c>
      <c r="G153" t="s">
        <v>290</v>
      </c>
      <c r="H153" t="s">
        <v>303</v>
      </c>
      <c r="I153" s="5" t="str">
        <f t="shared" si="16"/>
        <v>m1_trf_5286791a</v>
      </c>
      <c r="J153" t="s">
        <v>291</v>
      </c>
      <c r="K153" t="s">
        <v>292</v>
      </c>
      <c r="L153" s="13" t="str">
        <f t="shared" si="17"/>
        <v>82022605286791</v>
      </c>
      <c r="M153" t="s">
        <v>293</v>
      </c>
      <c r="N153" t="s">
        <v>294</v>
      </c>
      <c r="O153" t="s">
        <v>295</v>
      </c>
      <c r="P153" t="s">
        <v>304</v>
      </c>
      <c r="Q153" t="s">
        <v>297</v>
      </c>
      <c r="R153" t="s">
        <v>298</v>
      </c>
      <c r="S153" s="5">
        <f t="shared" si="18"/>
        <v>35.788287446147699</v>
      </c>
      <c r="T153" t="s">
        <v>299</v>
      </c>
      <c r="U153" s="5">
        <f t="shared" si="19"/>
        <v>16.648535216187</v>
      </c>
      <c r="V153" t="s">
        <v>448</v>
      </c>
      <c r="W153" t="s">
        <v>300</v>
      </c>
      <c r="X153" t="s">
        <v>301</v>
      </c>
      <c r="Y153" t="s">
        <v>302</v>
      </c>
    </row>
    <row r="154" spans="1:25" x14ac:dyDescent="0.25">
      <c r="A154" t="s">
        <v>314</v>
      </c>
      <c r="B154">
        <v>29.588767276048401</v>
      </c>
      <c r="C154">
        <v>13.718117476390599</v>
      </c>
      <c r="D154" s="11" t="s">
        <v>154</v>
      </c>
      <c r="F154" s="8" t="str">
        <f t="shared" si="15"/>
        <v>New "Load.m1_trf_5286792a" bus1="82019965286792.1.2.3.4" phases=3 conn=Wye model=2 kv=0.380 kw=29,5887672760484 kvar=13,7181174763906 daily="CURVA" status=variable vmaxpu=1.5 vminpu=0.92</v>
      </c>
      <c r="G154" t="s">
        <v>290</v>
      </c>
      <c r="H154" t="s">
        <v>303</v>
      </c>
      <c r="I154" s="5" t="str">
        <f t="shared" si="16"/>
        <v>m1_trf_5286792a</v>
      </c>
      <c r="J154" t="s">
        <v>291</v>
      </c>
      <c r="K154" t="s">
        <v>292</v>
      </c>
      <c r="L154" s="13" t="str">
        <f t="shared" si="17"/>
        <v>82019965286792</v>
      </c>
      <c r="M154" t="s">
        <v>293</v>
      </c>
      <c r="N154" t="s">
        <v>294</v>
      </c>
      <c r="O154" t="s">
        <v>295</v>
      </c>
      <c r="P154" t="s">
        <v>304</v>
      </c>
      <c r="Q154" t="s">
        <v>297</v>
      </c>
      <c r="R154" t="s">
        <v>298</v>
      </c>
      <c r="S154" s="5">
        <f t="shared" si="18"/>
        <v>29.588767276048401</v>
      </c>
      <c r="T154" t="s">
        <v>299</v>
      </c>
      <c r="U154" s="5">
        <f t="shared" si="19"/>
        <v>13.718117476390599</v>
      </c>
      <c r="V154" t="s">
        <v>448</v>
      </c>
      <c r="W154" t="s">
        <v>300</v>
      </c>
      <c r="X154" t="s">
        <v>301</v>
      </c>
      <c r="Y154" t="s">
        <v>302</v>
      </c>
    </row>
    <row r="155" spans="1:25" x14ac:dyDescent="0.25">
      <c r="A155" t="s">
        <v>315</v>
      </c>
      <c r="B155">
        <v>17.9938955943474</v>
      </c>
      <c r="C155">
        <v>8.3591206269732492</v>
      </c>
      <c r="D155" s="11" t="s">
        <v>155</v>
      </c>
      <c r="F155" s="8" t="str">
        <f t="shared" si="15"/>
        <v>New "Load.m1_trf_5286793a" bus1="82020055286793.1.2.3.4" phases=3 conn=Wye model=2 kv=0.380 kw=17,9938955943474 kvar=8,35912062697325 daily="CURVA" status=variable vmaxpu=1.5 vminpu=0.92</v>
      </c>
      <c r="G155" t="s">
        <v>290</v>
      </c>
      <c r="H155" t="s">
        <v>303</v>
      </c>
      <c r="I155" s="5" t="str">
        <f t="shared" si="16"/>
        <v>m1_trf_5286793a</v>
      </c>
      <c r="J155" t="s">
        <v>291</v>
      </c>
      <c r="K155" t="s">
        <v>292</v>
      </c>
      <c r="L155" s="13" t="str">
        <f t="shared" si="17"/>
        <v>82020055286793</v>
      </c>
      <c r="M155" t="s">
        <v>293</v>
      </c>
      <c r="N155" t="s">
        <v>294</v>
      </c>
      <c r="O155" t="s">
        <v>295</v>
      </c>
      <c r="P155" t="s">
        <v>304</v>
      </c>
      <c r="Q155" t="s">
        <v>297</v>
      </c>
      <c r="R155" t="s">
        <v>298</v>
      </c>
      <c r="S155" s="5">
        <f t="shared" si="18"/>
        <v>17.9938955943474</v>
      </c>
      <c r="T155" t="s">
        <v>299</v>
      </c>
      <c r="U155" s="5">
        <f t="shared" si="19"/>
        <v>8.3591206269732492</v>
      </c>
      <c r="V155" t="s">
        <v>448</v>
      </c>
      <c r="W155" t="s">
        <v>300</v>
      </c>
      <c r="X155" t="s">
        <v>301</v>
      </c>
      <c r="Y155" t="s">
        <v>302</v>
      </c>
    </row>
    <row r="156" spans="1:25" x14ac:dyDescent="0.25">
      <c r="A156" t="s">
        <v>316</v>
      </c>
      <c r="B156">
        <v>43.822833965232697</v>
      </c>
      <c r="C156">
        <v>20.3731833181143</v>
      </c>
      <c r="D156" s="11" t="s">
        <v>156</v>
      </c>
      <c r="F156" s="8" t="str">
        <f t="shared" si="15"/>
        <v>New "Load.m1_trf_5286794a" bus1="82020175286794.1.2.3.4" phases=3 conn=Wye model=2 kv=0.380 kw=43,8228339652327 kvar=20,3731833181143 daily="CURVA" status=variable vmaxpu=1.5 vminpu=0.92</v>
      </c>
      <c r="G156" t="s">
        <v>290</v>
      </c>
      <c r="H156" t="s">
        <v>303</v>
      </c>
      <c r="I156" s="5" t="str">
        <f t="shared" si="16"/>
        <v>m1_trf_5286794a</v>
      </c>
      <c r="J156" t="s">
        <v>291</v>
      </c>
      <c r="K156" t="s">
        <v>292</v>
      </c>
      <c r="L156" s="13" t="str">
        <f t="shared" si="17"/>
        <v>82020175286794</v>
      </c>
      <c r="M156" t="s">
        <v>293</v>
      </c>
      <c r="N156" t="s">
        <v>294</v>
      </c>
      <c r="O156" t="s">
        <v>295</v>
      </c>
      <c r="P156" t="s">
        <v>304</v>
      </c>
      <c r="Q156" t="s">
        <v>297</v>
      </c>
      <c r="R156" t="s">
        <v>298</v>
      </c>
      <c r="S156" s="5">
        <f t="shared" si="18"/>
        <v>43.822833965232697</v>
      </c>
      <c r="T156" t="s">
        <v>299</v>
      </c>
      <c r="U156" s="5">
        <f t="shared" si="19"/>
        <v>20.3731833181143</v>
      </c>
      <c r="V156" t="s">
        <v>448</v>
      </c>
      <c r="W156" t="s">
        <v>300</v>
      </c>
      <c r="X156" t="s">
        <v>301</v>
      </c>
      <c r="Y156" t="s">
        <v>302</v>
      </c>
    </row>
    <row r="157" spans="1:25" x14ac:dyDescent="0.25">
      <c r="A157" t="s">
        <v>317</v>
      </c>
      <c r="B157">
        <v>31.396805649870402</v>
      </c>
      <c r="C157">
        <v>14.669740209409101</v>
      </c>
      <c r="D157" s="11" t="s">
        <v>157</v>
      </c>
      <c r="F157" s="8" t="str">
        <f t="shared" si="15"/>
        <v>New "Load.m1_trf_5286795a" bus1="82020405286795.1.2.3.4" phases=3 conn=Wye model=2 kv=0.380 kw=31,3968056498704 kvar=14,6697402094091 daily="CURVA" status=variable vmaxpu=1.5 vminpu=0.92</v>
      </c>
      <c r="G157" t="s">
        <v>290</v>
      </c>
      <c r="H157" t="s">
        <v>303</v>
      </c>
      <c r="I157" s="5" t="str">
        <f t="shared" si="16"/>
        <v>m1_trf_5286795a</v>
      </c>
      <c r="J157" t="s">
        <v>291</v>
      </c>
      <c r="K157" t="s">
        <v>292</v>
      </c>
      <c r="L157" s="13" t="str">
        <f t="shared" si="17"/>
        <v>82020405286795</v>
      </c>
      <c r="M157" t="s">
        <v>293</v>
      </c>
      <c r="N157" t="s">
        <v>294</v>
      </c>
      <c r="O157" t="s">
        <v>295</v>
      </c>
      <c r="P157" t="s">
        <v>304</v>
      </c>
      <c r="Q157" t="s">
        <v>297</v>
      </c>
      <c r="R157" t="s">
        <v>298</v>
      </c>
      <c r="S157" s="5">
        <f t="shared" si="18"/>
        <v>31.396805649870402</v>
      </c>
      <c r="T157" t="s">
        <v>299</v>
      </c>
      <c r="U157" s="5">
        <f t="shared" si="19"/>
        <v>14.669740209409101</v>
      </c>
      <c r="V157" t="s">
        <v>448</v>
      </c>
      <c r="W157" t="s">
        <v>300</v>
      </c>
      <c r="X157" t="s">
        <v>301</v>
      </c>
      <c r="Y157" t="s">
        <v>302</v>
      </c>
    </row>
    <row r="158" spans="1:25" x14ac:dyDescent="0.25">
      <c r="A158" t="s">
        <v>318</v>
      </c>
      <c r="B158">
        <v>24.187627237954398</v>
      </c>
      <c r="C158">
        <v>11.2482317348406</v>
      </c>
      <c r="D158" s="11" t="s">
        <v>158</v>
      </c>
      <c r="F158" s="8" t="str">
        <f t="shared" si="15"/>
        <v>New "Load.m1_trf_5286796a" bus1="82020555286796.1.2.3.4" phases=3 conn=Wye model=2 kv=0.380 kw=24,1876272379544 kvar=11,2482317348406 daily="CURVA" status=variable vmaxpu=1.5 vminpu=0.92</v>
      </c>
      <c r="G158" t="s">
        <v>290</v>
      </c>
      <c r="H158" t="s">
        <v>303</v>
      </c>
      <c r="I158" s="5" t="str">
        <f t="shared" si="16"/>
        <v>m1_trf_5286796a</v>
      </c>
      <c r="J158" t="s">
        <v>291</v>
      </c>
      <c r="K158" t="s">
        <v>292</v>
      </c>
      <c r="L158" s="13" t="str">
        <f t="shared" si="17"/>
        <v>82020555286796</v>
      </c>
      <c r="M158" t="s">
        <v>293</v>
      </c>
      <c r="N158" t="s">
        <v>294</v>
      </c>
      <c r="O158" t="s">
        <v>295</v>
      </c>
      <c r="P158" t="s">
        <v>304</v>
      </c>
      <c r="Q158" t="s">
        <v>297</v>
      </c>
      <c r="R158" t="s">
        <v>298</v>
      </c>
      <c r="S158" s="5">
        <f t="shared" si="18"/>
        <v>24.187627237954398</v>
      </c>
      <c r="T158" t="s">
        <v>299</v>
      </c>
      <c r="U158" s="5">
        <f t="shared" si="19"/>
        <v>11.2482317348406</v>
      </c>
      <c r="V158" t="s">
        <v>448</v>
      </c>
      <c r="W158" t="s">
        <v>300</v>
      </c>
      <c r="X158" t="s">
        <v>301</v>
      </c>
      <c r="Y158" t="s">
        <v>302</v>
      </c>
    </row>
    <row r="159" spans="1:25" x14ac:dyDescent="0.25">
      <c r="A159" t="s">
        <v>319</v>
      </c>
      <c r="B159">
        <v>15.5028314580108</v>
      </c>
      <c r="C159">
        <v>7.2386012824434802</v>
      </c>
      <c r="D159" s="11" t="s">
        <v>159</v>
      </c>
      <c r="F159" s="8" t="str">
        <f t="shared" si="15"/>
        <v>New "Load.m1_trf_5286797a" bus1="82020675286797.1.2.3.4" phases=3 conn=Wye model=2 kv=0.380 kw=15,5028314580108 kvar=7,23860128244348 daily="CURVA" status=variable vmaxpu=1.5 vminpu=0.92</v>
      </c>
      <c r="G159" t="s">
        <v>290</v>
      </c>
      <c r="H159" t="s">
        <v>303</v>
      </c>
      <c r="I159" s="5" t="str">
        <f t="shared" si="16"/>
        <v>m1_trf_5286797a</v>
      </c>
      <c r="J159" t="s">
        <v>291</v>
      </c>
      <c r="K159" t="s">
        <v>292</v>
      </c>
      <c r="L159" s="13" t="str">
        <f t="shared" si="17"/>
        <v>82020675286797</v>
      </c>
      <c r="M159" t="s">
        <v>293</v>
      </c>
      <c r="N159" t="s">
        <v>294</v>
      </c>
      <c r="O159" t="s">
        <v>295</v>
      </c>
      <c r="P159" t="s">
        <v>304</v>
      </c>
      <c r="Q159" t="s">
        <v>297</v>
      </c>
      <c r="R159" t="s">
        <v>298</v>
      </c>
      <c r="S159" s="5">
        <f t="shared" si="18"/>
        <v>15.5028314580108</v>
      </c>
      <c r="T159" t="s">
        <v>299</v>
      </c>
      <c r="U159" s="5">
        <f t="shared" si="19"/>
        <v>7.2386012824434802</v>
      </c>
      <c r="V159" t="s">
        <v>448</v>
      </c>
      <c r="W159" t="s">
        <v>300</v>
      </c>
      <c r="X159" t="s">
        <v>301</v>
      </c>
      <c r="Y159" t="s">
        <v>302</v>
      </c>
    </row>
    <row r="160" spans="1:25" x14ac:dyDescent="0.25">
      <c r="A160" t="s">
        <v>320</v>
      </c>
      <c r="B160">
        <v>18.1585706907148</v>
      </c>
      <c r="C160">
        <v>8.4453153308075795</v>
      </c>
      <c r="D160" s="11" t="s">
        <v>160</v>
      </c>
      <c r="F160" s="8" t="str">
        <f t="shared" si="15"/>
        <v>New "Load.m1_trf_5286798a" bus1="82021885286798.1.2.3.4" phases=3 conn=Wye model=2 kv=0.380 kw=18,1585706907148 kvar=8,44531533080758 daily="CURVA" status=variable vmaxpu=1.5 vminpu=0.92</v>
      </c>
      <c r="G160" t="s">
        <v>290</v>
      </c>
      <c r="H160" t="s">
        <v>303</v>
      </c>
      <c r="I160" s="5" t="str">
        <f t="shared" si="16"/>
        <v>m1_trf_5286798a</v>
      </c>
      <c r="J160" t="s">
        <v>291</v>
      </c>
      <c r="K160" t="s">
        <v>292</v>
      </c>
      <c r="L160" s="13" t="str">
        <f t="shared" si="17"/>
        <v>82021885286798</v>
      </c>
      <c r="M160" t="s">
        <v>293</v>
      </c>
      <c r="N160" t="s">
        <v>294</v>
      </c>
      <c r="O160" t="s">
        <v>295</v>
      </c>
      <c r="P160" t="s">
        <v>304</v>
      </c>
      <c r="Q160" t="s">
        <v>297</v>
      </c>
      <c r="R160" t="s">
        <v>298</v>
      </c>
      <c r="S160" s="5">
        <f t="shared" si="18"/>
        <v>18.1585706907148</v>
      </c>
      <c r="T160" t="s">
        <v>299</v>
      </c>
      <c r="U160" s="5">
        <f t="shared" si="19"/>
        <v>8.4453153308075795</v>
      </c>
      <c r="V160" t="s">
        <v>448</v>
      </c>
      <c r="W160" t="s">
        <v>300</v>
      </c>
      <c r="X160" t="s">
        <v>301</v>
      </c>
      <c r="Y160" t="s">
        <v>302</v>
      </c>
    </row>
    <row r="161" spans="1:25" x14ac:dyDescent="0.25">
      <c r="A161" t="s">
        <v>321</v>
      </c>
      <c r="B161">
        <v>37.0680111671048</v>
      </c>
      <c r="C161">
        <v>17.160236606518001</v>
      </c>
      <c r="D161" s="11" t="s">
        <v>161</v>
      </c>
      <c r="F161" s="8" t="str">
        <f t="shared" si="15"/>
        <v>New "Load.m1_trf_5286799a" bus1="82021995286799.1.2.3.4" phases=3 conn=Wye model=2 kv=0.380 kw=37,0680111671048 kvar=17,160236606518 daily="CURVA" status=variable vmaxpu=1.5 vminpu=0.92</v>
      </c>
      <c r="G161" t="s">
        <v>290</v>
      </c>
      <c r="H161" t="s">
        <v>303</v>
      </c>
      <c r="I161" s="5" t="str">
        <f t="shared" si="16"/>
        <v>m1_trf_5286799a</v>
      </c>
      <c r="J161" t="s">
        <v>291</v>
      </c>
      <c r="K161" t="s">
        <v>292</v>
      </c>
      <c r="L161" s="13" t="str">
        <f t="shared" si="17"/>
        <v>82021995286799</v>
      </c>
      <c r="M161" t="s">
        <v>293</v>
      </c>
      <c r="N161" t="s">
        <v>294</v>
      </c>
      <c r="O161" t="s">
        <v>295</v>
      </c>
      <c r="P161" t="s">
        <v>304</v>
      </c>
      <c r="Q161" t="s">
        <v>297</v>
      </c>
      <c r="R161" t="s">
        <v>298</v>
      </c>
      <c r="S161" s="5">
        <f t="shared" si="18"/>
        <v>37.0680111671048</v>
      </c>
      <c r="T161" t="s">
        <v>299</v>
      </c>
      <c r="U161" s="5">
        <f t="shared" si="19"/>
        <v>17.160236606518001</v>
      </c>
      <c r="V161" t="s">
        <v>448</v>
      </c>
      <c r="W161" t="s">
        <v>300</v>
      </c>
      <c r="X161" t="s">
        <v>301</v>
      </c>
      <c r="Y161" t="s">
        <v>302</v>
      </c>
    </row>
    <row r="162" spans="1:25" x14ac:dyDescent="0.25">
      <c r="A162" t="s">
        <v>322</v>
      </c>
      <c r="B162">
        <v>31.811828311764199</v>
      </c>
      <c r="C162">
        <v>14.788936439925401</v>
      </c>
      <c r="D162" s="11" t="s">
        <v>162</v>
      </c>
      <c r="F162" s="8" t="str">
        <f t="shared" si="15"/>
        <v>New "Load.m1_trf_5286800a" bus1="82024325286800.1.2.3.4" phases=3 conn=Wye model=2 kv=0.380 kw=31,8118283117642 kvar=14,7889364399254 daily="CURVA" status=variable vmaxpu=1.5 vminpu=0.92</v>
      </c>
      <c r="G162" t="s">
        <v>290</v>
      </c>
      <c r="H162" t="s">
        <v>303</v>
      </c>
      <c r="I162" s="5" t="str">
        <f t="shared" si="16"/>
        <v>m1_trf_5286800a</v>
      </c>
      <c r="J162" t="s">
        <v>291</v>
      </c>
      <c r="K162" t="s">
        <v>292</v>
      </c>
      <c r="L162" s="13" t="str">
        <f t="shared" si="17"/>
        <v>82024325286800</v>
      </c>
      <c r="M162" t="s">
        <v>293</v>
      </c>
      <c r="N162" t="s">
        <v>294</v>
      </c>
      <c r="O162" t="s">
        <v>295</v>
      </c>
      <c r="P162" t="s">
        <v>304</v>
      </c>
      <c r="Q162" t="s">
        <v>297</v>
      </c>
      <c r="R162" t="s">
        <v>298</v>
      </c>
      <c r="S162" s="5">
        <f t="shared" si="18"/>
        <v>31.811828311764199</v>
      </c>
      <c r="T162" t="s">
        <v>299</v>
      </c>
      <c r="U162" s="5">
        <f t="shared" si="19"/>
        <v>14.788936439925401</v>
      </c>
      <c r="V162" t="s">
        <v>448</v>
      </c>
      <c r="W162" t="s">
        <v>300</v>
      </c>
      <c r="X162" t="s">
        <v>301</v>
      </c>
      <c r="Y162" t="s">
        <v>302</v>
      </c>
    </row>
    <row r="163" spans="1:25" x14ac:dyDescent="0.25">
      <c r="A163" t="s">
        <v>323</v>
      </c>
      <c r="B163">
        <v>22.5086119257695</v>
      </c>
      <c r="C163">
        <v>10.4704796949189</v>
      </c>
      <c r="D163" s="11" t="s">
        <v>163</v>
      </c>
      <c r="F163" s="8" t="str">
        <f t="shared" si="15"/>
        <v>New "Load.m1_trf_5286801a" bus1="82022225286801.1.2.3.4" phases=3 conn=Wye model=2 kv=0.380 kw=22,5086119257695 kvar=10,4704796949189 daily="CURVA" status=variable vmaxpu=1.5 vminpu=0.92</v>
      </c>
      <c r="G163" t="s">
        <v>290</v>
      </c>
      <c r="H163" t="s">
        <v>303</v>
      </c>
      <c r="I163" s="5" t="str">
        <f t="shared" si="16"/>
        <v>m1_trf_5286801a</v>
      </c>
      <c r="J163" t="s">
        <v>291</v>
      </c>
      <c r="K163" t="s">
        <v>292</v>
      </c>
      <c r="L163" s="13" t="str">
        <f t="shared" si="17"/>
        <v>82022225286801</v>
      </c>
      <c r="M163" t="s">
        <v>293</v>
      </c>
      <c r="N163" t="s">
        <v>294</v>
      </c>
      <c r="O163" t="s">
        <v>295</v>
      </c>
      <c r="P163" t="s">
        <v>304</v>
      </c>
      <c r="Q163" t="s">
        <v>297</v>
      </c>
      <c r="R163" t="s">
        <v>298</v>
      </c>
      <c r="S163" s="5">
        <f t="shared" si="18"/>
        <v>22.5086119257695</v>
      </c>
      <c r="T163" t="s">
        <v>299</v>
      </c>
      <c r="U163" s="5">
        <f t="shared" si="19"/>
        <v>10.4704796949189</v>
      </c>
      <c r="V163" t="s">
        <v>448</v>
      </c>
      <c r="W163" t="s">
        <v>300</v>
      </c>
      <c r="X163" t="s">
        <v>301</v>
      </c>
      <c r="Y163" t="s">
        <v>302</v>
      </c>
    </row>
    <row r="164" spans="1:25" x14ac:dyDescent="0.25">
      <c r="A164" t="s">
        <v>324</v>
      </c>
      <c r="B164">
        <v>19.244378532129399</v>
      </c>
      <c r="C164">
        <v>8.9140267586486601</v>
      </c>
      <c r="D164" s="11" t="s">
        <v>164</v>
      </c>
      <c r="F164" s="8" t="str">
        <f t="shared" si="15"/>
        <v>New "Load.m1_trf_5286802a" bus1="82021615286802.1.2.3.4" phases=3 conn=Wye model=2 kv=0.380 kw=19,2443785321294 kvar=8,91402675864866 daily="CURVA" status=variable vmaxpu=1.5 vminpu=0.92</v>
      </c>
      <c r="G164" t="s">
        <v>290</v>
      </c>
      <c r="H164" t="s">
        <v>303</v>
      </c>
      <c r="I164" s="5" t="str">
        <f t="shared" si="16"/>
        <v>m1_trf_5286802a</v>
      </c>
      <c r="J164" t="s">
        <v>291</v>
      </c>
      <c r="K164" t="s">
        <v>292</v>
      </c>
      <c r="L164" s="13" t="str">
        <f t="shared" si="17"/>
        <v>82021615286802</v>
      </c>
      <c r="M164" t="s">
        <v>293</v>
      </c>
      <c r="N164" t="s">
        <v>294</v>
      </c>
      <c r="O164" t="s">
        <v>295</v>
      </c>
      <c r="P164" t="s">
        <v>304</v>
      </c>
      <c r="Q164" t="s">
        <v>297</v>
      </c>
      <c r="R164" t="s">
        <v>298</v>
      </c>
      <c r="S164" s="5">
        <f t="shared" si="18"/>
        <v>19.244378532129399</v>
      </c>
      <c r="T164" t="s">
        <v>299</v>
      </c>
      <c r="U164" s="5">
        <f t="shared" si="19"/>
        <v>8.9140267586486601</v>
      </c>
      <c r="V164" t="s">
        <v>448</v>
      </c>
      <c r="W164" t="s">
        <v>300</v>
      </c>
      <c r="X164" t="s">
        <v>301</v>
      </c>
      <c r="Y164" t="s">
        <v>302</v>
      </c>
    </row>
    <row r="165" spans="1:25" x14ac:dyDescent="0.25">
      <c r="A165" t="s">
        <v>325</v>
      </c>
      <c r="B165">
        <v>36.926594614870503</v>
      </c>
      <c r="C165">
        <v>16.883860131407701</v>
      </c>
      <c r="D165" s="11" t="s">
        <v>165</v>
      </c>
      <c r="F165" s="8" t="str">
        <f t="shared" si="15"/>
        <v>New "Load.m1_trf_5286803a" bus1="82036745286803.1.2.3.4" phases=3 conn=Wye model=2 kv=0.380 kw=36,9265946148705 kvar=16,8838601314077 daily="CURVA" status=variable vmaxpu=1.5 vminpu=0.92</v>
      </c>
      <c r="G165" t="s">
        <v>290</v>
      </c>
      <c r="H165" t="s">
        <v>303</v>
      </c>
      <c r="I165" s="5" t="str">
        <f t="shared" si="16"/>
        <v>m1_trf_5286803a</v>
      </c>
      <c r="J165" t="s">
        <v>291</v>
      </c>
      <c r="K165" t="s">
        <v>292</v>
      </c>
      <c r="L165" s="13" t="str">
        <f t="shared" si="17"/>
        <v>82036745286803</v>
      </c>
      <c r="M165" t="s">
        <v>293</v>
      </c>
      <c r="N165" t="s">
        <v>294</v>
      </c>
      <c r="O165" t="s">
        <v>295</v>
      </c>
      <c r="P165" t="s">
        <v>304</v>
      </c>
      <c r="Q165" t="s">
        <v>297</v>
      </c>
      <c r="R165" t="s">
        <v>298</v>
      </c>
      <c r="S165" s="5">
        <f t="shared" si="18"/>
        <v>36.926594614870503</v>
      </c>
      <c r="T165" t="s">
        <v>299</v>
      </c>
      <c r="U165" s="5">
        <f t="shared" si="19"/>
        <v>16.883860131407701</v>
      </c>
      <c r="V165" t="s">
        <v>448</v>
      </c>
      <c r="W165" t="s">
        <v>300</v>
      </c>
      <c r="X165" t="s">
        <v>301</v>
      </c>
      <c r="Y165" t="s">
        <v>302</v>
      </c>
    </row>
    <row r="166" spans="1:25" x14ac:dyDescent="0.25">
      <c r="A166" t="s">
        <v>326</v>
      </c>
      <c r="B166">
        <v>33.9698564773648</v>
      </c>
      <c r="C166">
        <v>15.519836684898699</v>
      </c>
      <c r="D166" s="11" t="s">
        <v>166</v>
      </c>
      <c r="F166" s="8" t="str">
        <f t="shared" si="15"/>
        <v>New "Load.m1_trf_5286804a" bus1="82033055286804.1.2.3.4" phases=3 conn=Wye model=2 kv=0.380 kw=33,9698564773648 kvar=15,5198366848987 daily="CURVA" status=variable vmaxpu=1.5 vminpu=0.92</v>
      </c>
      <c r="G166" t="s">
        <v>290</v>
      </c>
      <c r="H166" t="s">
        <v>303</v>
      </c>
      <c r="I166" s="5" t="str">
        <f t="shared" si="16"/>
        <v>m1_trf_5286804a</v>
      </c>
      <c r="J166" t="s">
        <v>291</v>
      </c>
      <c r="K166" t="s">
        <v>292</v>
      </c>
      <c r="L166" s="13" t="str">
        <f t="shared" si="17"/>
        <v>82033055286804</v>
      </c>
      <c r="M166" t="s">
        <v>293</v>
      </c>
      <c r="N166" t="s">
        <v>294</v>
      </c>
      <c r="O166" t="s">
        <v>295</v>
      </c>
      <c r="P166" t="s">
        <v>304</v>
      </c>
      <c r="Q166" t="s">
        <v>297</v>
      </c>
      <c r="R166" t="s">
        <v>298</v>
      </c>
      <c r="S166" s="5">
        <f t="shared" si="18"/>
        <v>33.9698564773648</v>
      </c>
      <c r="T166" t="s">
        <v>299</v>
      </c>
      <c r="U166" s="5">
        <f t="shared" si="19"/>
        <v>15.519836684898699</v>
      </c>
      <c r="V166" t="s">
        <v>448</v>
      </c>
      <c r="W166" t="s">
        <v>300</v>
      </c>
      <c r="X166" t="s">
        <v>301</v>
      </c>
      <c r="Y166" t="s">
        <v>302</v>
      </c>
    </row>
    <row r="167" spans="1:25" x14ac:dyDescent="0.25">
      <c r="A167" t="s">
        <v>327</v>
      </c>
      <c r="B167">
        <v>22.825816930754101</v>
      </c>
      <c r="C167">
        <v>10.5099702995059</v>
      </c>
      <c r="D167" s="11" t="s">
        <v>167</v>
      </c>
      <c r="F167" s="8" t="str">
        <f t="shared" si="15"/>
        <v>New "Load.m1_trf_5286805a" bus1="82033395286805.1.2.3.4" phases=3 conn=Wye model=2 kv=0.380 kw=22,8258169307541 kvar=10,5099702995059 daily="CURVA" status=variable vmaxpu=1.5 vminpu=0.92</v>
      </c>
      <c r="G167" t="s">
        <v>290</v>
      </c>
      <c r="H167" t="s">
        <v>303</v>
      </c>
      <c r="I167" s="5" t="str">
        <f t="shared" si="16"/>
        <v>m1_trf_5286805a</v>
      </c>
      <c r="J167" t="s">
        <v>291</v>
      </c>
      <c r="K167" t="s">
        <v>292</v>
      </c>
      <c r="L167" s="13" t="str">
        <f t="shared" si="17"/>
        <v>82033395286805</v>
      </c>
      <c r="M167" t="s">
        <v>293</v>
      </c>
      <c r="N167" t="s">
        <v>294</v>
      </c>
      <c r="O167" t="s">
        <v>295</v>
      </c>
      <c r="P167" t="s">
        <v>304</v>
      </c>
      <c r="Q167" t="s">
        <v>297</v>
      </c>
      <c r="R167" t="s">
        <v>298</v>
      </c>
      <c r="S167" s="5">
        <f t="shared" si="18"/>
        <v>22.825816930754101</v>
      </c>
      <c r="T167" t="s">
        <v>299</v>
      </c>
      <c r="U167" s="5">
        <f t="shared" si="19"/>
        <v>10.5099702995059</v>
      </c>
      <c r="V167" t="s">
        <v>448</v>
      </c>
      <c r="W167" t="s">
        <v>300</v>
      </c>
      <c r="X167" t="s">
        <v>301</v>
      </c>
      <c r="Y167" t="s">
        <v>302</v>
      </c>
    </row>
    <row r="168" spans="1:25" x14ac:dyDescent="0.25">
      <c r="A168" t="s">
        <v>328</v>
      </c>
      <c r="B168">
        <v>29.407436133651899</v>
      </c>
      <c r="C168">
        <v>13.814809920822301</v>
      </c>
      <c r="D168" s="11" t="s">
        <v>168</v>
      </c>
      <c r="F168" s="8" t="str">
        <f t="shared" si="15"/>
        <v>New "Load.m1_trf_5286806a" bus1="82024965286806.1.2.3.4" phases=3 conn=Wye model=2 kv=0.380 kw=29,4074361336519 kvar=13,8148099208223 daily="CURVA" status=variable vmaxpu=1.5 vminpu=0.92</v>
      </c>
      <c r="G168" t="s">
        <v>290</v>
      </c>
      <c r="H168" t="s">
        <v>303</v>
      </c>
      <c r="I168" s="5" t="str">
        <f t="shared" si="16"/>
        <v>m1_trf_5286806a</v>
      </c>
      <c r="J168" t="s">
        <v>291</v>
      </c>
      <c r="K168" t="s">
        <v>292</v>
      </c>
      <c r="L168" s="13" t="str">
        <f t="shared" si="17"/>
        <v>82024965286806</v>
      </c>
      <c r="M168" t="s">
        <v>293</v>
      </c>
      <c r="N168" t="s">
        <v>294</v>
      </c>
      <c r="O168" t="s">
        <v>295</v>
      </c>
      <c r="P168" t="s">
        <v>304</v>
      </c>
      <c r="Q168" t="s">
        <v>297</v>
      </c>
      <c r="R168" t="s">
        <v>298</v>
      </c>
      <c r="S168" s="5">
        <f t="shared" si="18"/>
        <v>29.407436133651899</v>
      </c>
      <c r="T168" t="s">
        <v>299</v>
      </c>
      <c r="U168" s="5">
        <f t="shared" si="19"/>
        <v>13.814809920822301</v>
      </c>
      <c r="V168" t="s">
        <v>448</v>
      </c>
      <c r="W168" t="s">
        <v>300</v>
      </c>
      <c r="X168" t="s">
        <v>301</v>
      </c>
      <c r="Y168" t="s">
        <v>302</v>
      </c>
    </row>
    <row r="169" spans="1:25" x14ac:dyDescent="0.25">
      <c r="A169" t="s">
        <v>329</v>
      </c>
      <c r="B169">
        <v>41.326595493363797</v>
      </c>
      <c r="C169">
        <v>19.156146163806401</v>
      </c>
      <c r="D169" s="11" t="s">
        <v>169</v>
      </c>
      <c r="F169" s="8" t="str">
        <f t="shared" si="15"/>
        <v>New "Load.m1_trf_5286807a" bus1="90855665286807.1.2.3.4" phases=3 conn=Wye model=2 kv=0.380 kw=41,3265954933638 kvar=19,1561461638064 daily="CURVA" status=variable vmaxpu=1.5 vminpu=0.92</v>
      </c>
      <c r="G169" t="s">
        <v>290</v>
      </c>
      <c r="H169" t="s">
        <v>303</v>
      </c>
      <c r="I169" s="5" t="str">
        <f t="shared" si="16"/>
        <v>m1_trf_5286807a</v>
      </c>
      <c r="J169" t="s">
        <v>291</v>
      </c>
      <c r="K169" t="s">
        <v>292</v>
      </c>
      <c r="L169" s="13" t="str">
        <f t="shared" si="17"/>
        <v>90855665286807</v>
      </c>
      <c r="M169" t="s">
        <v>293</v>
      </c>
      <c r="N169" t="s">
        <v>294</v>
      </c>
      <c r="O169" t="s">
        <v>295</v>
      </c>
      <c r="P169" t="s">
        <v>304</v>
      </c>
      <c r="Q169" t="s">
        <v>297</v>
      </c>
      <c r="R169" t="s">
        <v>298</v>
      </c>
      <c r="S169" s="5">
        <f t="shared" si="18"/>
        <v>41.326595493363797</v>
      </c>
      <c r="T169" t="s">
        <v>299</v>
      </c>
      <c r="U169" s="5">
        <f t="shared" si="19"/>
        <v>19.156146163806401</v>
      </c>
      <c r="V169" t="s">
        <v>448</v>
      </c>
      <c r="W169" t="s">
        <v>300</v>
      </c>
      <c r="X169" t="s">
        <v>301</v>
      </c>
      <c r="Y169" t="s">
        <v>302</v>
      </c>
    </row>
    <row r="170" spans="1:25" x14ac:dyDescent="0.25">
      <c r="A170" t="s">
        <v>330</v>
      </c>
      <c r="B170">
        <v>41.789899698887702</v>
      </c>
      <c r="C170">
        <v>19.0591725679962</v>
      </c>
      <c r="D170" s="11" t="s">
        <v>170</v>
      </c>
      <c r="F170" s="8" t="str">
        <f t="shared" si="15"/>
        <v>New "Load.m1_trf_5286808a" bus1="82027905286808.1.2.3.4" phases=3 conn=Wye model=2 kv=0.380 kw=41,7898996988877 kvar=19,0591725679962 daily="CURVA" status=variable vmaxpu=1.5 vminpu=0.92</v>
      </c>
      <c r="G170" t="s">
        <v>290</v>
      </c>
      <c r="H170" t="s">
        <v>303</v>
      </c>
      <c r="I170" s="5" t="str">
        <f t="shared" si="16"/>
        <v>m1_trf_5286808a</v>
      </c>
      <c r="J170" t="s">
        <v>291</v>
      </c>
      <c r="K170" t="s">
        <v>292</v>
      </c>
      <c r="L170" s="13" t="str">
        <f t="shared" si="17"/>
        <v>82027905286808</v>
      </c>
      <c r="M170" t="s">
        <v>293</v>
      </c>
      <c r="N170" t="s">
        <v>294</v>
      </c>
      <c r="O170" t="s">
        <v>295</v>
      </c>
      <c r="P170" t="s">
        <v>304</v>
      </c>
      <c r="Q170" t="s">
        <v>297</v>
      </c>
      <c r="R170" t="s">
        <v>298</v>
      </c>
      <c r="S170" s="5">
        <f t="shared" si="18"/>
        <v>41.789899698887702</v>
      </c>
      <c r="T170" t="s">
        <v>299</v>
      </c>
      <c r="U170" s="5">
        <f t="shared" si="19"/>
        <v>19.0591725679962</v>
      </c>
      <c r="V170" t="s">
        <v>448</v>
      </c>
      <c r="W170" t="s">
        <v>300</v>
      </c>
      <c r="X170" t="s">
        <v>301</v>
      </c>
      <c r="Y170" t="s">
        <v>302</v>
      </c>
    </row>
    <row r="171" spans="1:25" x14ac:dyDescent="0.25">
      <c r="A171" t="s">
        <v>331</v>
      </c>
      <c r="B171">
        <v>29.195095719737299</v>
      </c>
      <c r="C171">
        <v>13.4801863422098</v>
      </c>
      <c r="D171" s="11" t="s">
        <v>171</v>
      </c>
      <c r="F171" s="8" t="str">
        <f t="shared" si="15"/>
        <v>New "Load.m1_trf_5286809a" bus1="82028045286809.1.2.3.4" phases=3 conn=Wye model=2 kv=0.380 kw=29,1950957197373 kvar=13,4801863422098 daily="CURVA" status=variable vmaxpu=1.5 vminpu=0.92</v>
      </c>
      <c r="G171" t="s">
        <v>290</v>
      </c>
      <c r="H171" t="s">
        <v>303</v>
      </c>
      <c r="I171" s="5" t="str">
        <f t="shared" si="16"/>
        <v>m1_trf_5286809a</v>
      </c>
      <c r="J171" t="s">
        <v>291</v>
      </c>
      <c r="K171" t="s">
        <v>292</v>
      </c>
      <c r="L171" s="13" t="str">
        <f t="shared" si="17"/>
        <v>82028045286809</v>
      </c>
      <c r="M171" t="s">
        <v>293</v>
      </c>
      <c r="N171" t="s">
        <v>294</v>
      </c>
      <c r="O171" t="s">
        <v>295</v>
      </c>
      <c r="P171" t="s">
        <v>304</v>
      </c>
      <c r="Q171" t="s">
        <v>297</v>
      </c>
      <c r="R171" t="s">
        <v>298</v>
      </c>
      <c r="S171" s="5">
        <f t="shared" si="18"/>
        <v>29.195095719737299</v>
      </c>
      <c r="T171" t="s">
        <v>299</v>
      </c>
      <c r="U171" s="5">
        <f t="shared" si="19"/>
        <v>13.4801863422098</v>
      </c>
      <c r="V171" t="s">
        <v>448</v>
      </c>
      <c r="W171" t="s">
        <v>300</v>
      </c>
      <c r="X171" t="s">
        <v>301</v>
      </c>
      <c r="Y171" t="s">
        <v>302</v>
      </c>
    </row>
    <row r="172" spans="1:25" x14ac:dyDescent="0.25">
      <c r="A172" t="s">
        <v>332</v>
      </c>
      <c r="B172">
        <v>47.675325888831203</v>
      </c>
      <c r="C172">
        <v>22.3618057363697</v>
      </c>
      <c r="D172" s="11" t="s">
        <v>172</v>
      </c>
      <c r="F172" s="8" t="str">
        <f t="shared" si="15"/>
        <v>New "Load.m1_trf_5286810a" bus1="82028035286810.1.2.3.4" phases=3 conn=Wye model=2 kv=0.380 kw=47,6753258888312 kvar=22,3618057363697 daily="CURVA" status=variable vmaxpu=1.5 vminpu=0.92</v>
      </c>
      <c r="G172" t="s">
        <v>290</v>
      </c>
      <c r="H172" t="s">
        <v>303</v>
      </c>
      <c r="I172" s="5" t="str">
        <f t="shared" si="16"/>
        <v>m1_trf_5286810a</v>
      </c>
      <c r="J172" t="s">
        <v>291</v>
      </c>
      <c r="K172" t="s">
        <v>292</v>
      </c>
      <c r="L172" s="13" t="str">
        <f t="shared" si="17"/>
        <v>82028035286810</v>
      </c>
      <c r="M172" t="s">
        <v>293</v>
      </c>
      <c r="N172" t="s">
        <v>294</v>
      </c>
      <c r="O172" t="s">
        <v>295</v>
      </c>
      <c r="P172" t="s">
        <v>304</v>
      </c>
      <c r="Q172" t="s">
        <v>297</v>
      </c>
      <c r="R172" t="s">
        <v>298</v>
      </c>
      <c r="S172" s="5">
        <f t="shared" si="18"/>
        <v>47.675325888831203</v>
      </c>
      <c r="T172" t="s">
        <v>299</v>
      </c>
      <c r="U172" s="5">
        <f t="shared" si="19"/>
        <v>22.3618057363697</v>
      </c>
      <c r="V172" t="s">
        <v>448</v>
      </c>
      <c r="W172" t="s">
        <v>300</v>
      </c>
      <c r="X172" t="s">
        <v>301</v>
      </c>
      <c r="Y172" t="s">
        <v>302</v>
      </c>
    </row>
    <row r="173" spans="1:25" x14ac:dyDescent="0.25">
      <c r="A173" t="s">
        <v>333</v>
      </c>
      <c r="B173">
        <v>35.998755898596499</v>
      </c>
      <c r="C173">
        <v>16.7240229098655</v>
      </c>
      <c r="D173" s="11" t="s">
        <v>173</v>
      </c>
      <c r="F173" s="8" t="str">
        <f t="shared" si="15"/>
        <v>New "Load.m1_trf_5286811a" bus1="82026685286811.1.2.3.4" phases=3 conn=Wye model=2 kv=0.380 kw=35,9987558985965 kvar=16,7240229098655 daily="CURVA" status=variable vmaxpu=1.5 vminpu=0.92</v>
      </c>
      <c r="G173" t="s">
        <v>290</v>
      </c>
      <c r="H173" t="s">
        <v>303</v>
      </c>
      <c r="I173" s="5" t="str">
        <f t="shared" si="16"/>
        <v>m1_trf_5286811a</v>
      </c>
      <c r="J173" t="s">
        <v>291</v>
      </c>
      <c r="K173" t="s">
        <v>292</v>
      </c>
      <c r="L173" s="13" t="str">
        <f t="shared" si="17"/>
        <v>82026685286811</v>
      </c>
      <c r="M173" t="s">
        <v>293</v>
      </c>
      <c r="N173" t="s">
        <v>294</v>
      </c>
      <c r="O173" t="s">
        <v>295</v>
      </c>
      <c r="P173" t="s">
        <v>304</v>
      </c>
      <c r="Q173" t="s">
        <v>297</v>
      </c>
      <c r="R173" t="s">
        <v>298</v>
      </c>
      <c r="S173" s="5">
        <f t="shared" si="18"/>
        <v>35.998755898596499</v>
      </c>
      <c r="T173" t="s">
        <v>299</v>
      </c>
      <c r="U173" s="5">
        <f t="shared" si="19"/>
        <v>16.7240229098655</v>
      </c>
      <c r="V173" t="s">
        <v>448</v>
      </c>
      <c r="W173" t="s">
        <v>300</v>
      </c>
      <c r="X173" t="s">
        <v>301</v>
      </c>
      <c r="Y173" t="s">
        <v>302</v>
      </c>
    </row>
    <row r="174" spans="1:25" x14ac:dyDescent="0.25">
      <c r="A174" t="s">
        <v>334</v>
      </c>
      <c r="B174">
        <v>62.255033647471897</v>
      </c>
      <c r="C174">
        <v>29.0547297113384</v>
      </c>
      <c r="D174" s="11" t="s">
        <v>174</v>
      </c>
      <c r="F174" s="8" t="str">
        <f t="shared" si="15"/>
        <v>New "Load.m1_trf_5286812a" bus1="82026915286812.1.2.3.4" phases=3 conn=Wye model=2 kv=0.380 kw=62,2550336474719 kvar=29,0547297113384 daily="CURVA" status=variable vmaxpu=1.5 vminpu=0.92</v>
      </c>
      <c r="G174" t="s">
        <v>290</v>
      </c>
      <c r="H174" t="s">
        <v>303</v>
      </c>
      <c r="I174" s="5" t="str">
        <f t="shared" si="16"/>
        <v>m1_trf_5286812a</v>
      </c>
      <c r="J174" t="s">
        <v>291</v>
      </c>
      <c r="K174" t="s">
        <v>292</v>
      </c>
      <c r="L174" s="13" t="str">
        <f t="shared" si="17"/>
        <v>82026915286812</v>
      </c>
      <c r="M174" t="s">
        <v>293</v>
      </c>
      <c r="N174" t="s">
        <v>294</v>
      </c>
      <c r="O174" t="s">
        <v>295</v>
      </c>
      <c r="P174" t="s">
        <v>304</v>
      </c>
      <c r="Q174" t="s">
        <v>297</v>
      </c>
      <c r="R174" t="s">
        <v>298</v>
      </c>
      <c r="S174" s="5">
        <f t="shared" si="18"/>
        <v>62.255033647471897</v>
      </c>
      <c r="T174" t="s">
        <v>299</v>
      </c>
      <c r="U174" s="5">
        <f t="shared" si="19"/>
        <v>29.0547297113384</v>
      </c>
      <c r="V174" t="s">
        <v>448</v>
      </c>
      <c r="W174" t="s">
        <v>300</v>
      </c>
      <c r="X174" t="s">
        <v>301</v>
      </c>
      <c r="Y174" t="s">
        <v>302</v>
      </c>
    </row>
    <row r="175" spans="1:25" x14ac:dyDescent="0.25">
      <c r="A175" t="s">
        <v>335</v>
      </c>
      <c r="B175">
        <v>16.735639813787799</v>
      </c>
      <c r="C175">
        <v>7.7478132175996901</v>
      </c>
      <c r="D175" s="11" t="s">
        <v>175</v>
      </c>
      <c r="F175" s="8" t="str">
        <f t="shared" si="15"/>
        <v>New "Load.m1_trf_5286813a" bus1="82028365286813.1.2.3.4" phases=3 conn=Wye model=2 kv=0.380 kw=16,7356398137878 kvar=7,74781321759969 daily="CURVA" status=variable vmaxpu=1.5 vminpu=0.92</v>
      </c>
      <c r="G175" t="s">
        <v>290</v>
      </c>
      <c r="H175" t="s">
        <v>303</v>
      </c>
      <c r="I175" s="5" t="str">
        <f t="shared" si="16"/>
        <v>m1_trf_5286813a</v>
      </c>
      <c r="J175" t="s">
        <v>291</v>
      </c>
      <c r="K175" t="s">
        <v>292</v>
      </c>
      <c r="L175" s="13" t="str">
        <f t="shared" si="17"/>
        <v>82028365286813</v>
      </c>
      <c r="M175" t="s">
        <v>293</v>
      </c>
      <c r="N175" t="s">
        <v>294</v>
      </c>
      <c r="O175" t="s">
        <v>295</v>
      </c>
      <c r="P175" t="s">
        <v>304</v>
      </c>
      <c r="Q175" t="s">
        <v>297</v>
      </c>
      <c r="R175" t="s">
        <v>298</v>
      </c>
      <c r="S175" s="5">
        <f t="shared" si="18"/>
        <v>16.735639813787799</v>
      </c>
      <c r="T175" t="s">
        <v>299</v>
      </c>
      <c r="U175" s="5">
        <f t="shared" si="19"/>
        <v>7.7478132175996901</v>
      </c>
      <c r="V175" t="s">
        <v>448</v>
      </c>
      <c r="W175" t="s">
        <v>300</v>
      </c>
      <c r="X175" t="s">
        <v>301</v>
      </c>
      <c r="Y175" t="s">
        <v>302</v>
      </c>
    </row>
    <row r="176" spans="1:25" x14ac:dyDescent="0.25">
      <c r="A176" t="s">
        <v>336</v>
      </c>
      <c r="B176">
        <v>37.660330910371997</v>
      </c>
      <c r="C176">
        <v>17.454334709310601</v>
      </c>
      <c r="D176" s="11" t="s">
        <v>176</v>
      </c>
      <c r="F176" s="8" t="str">
        <f t="shared" si="15"/>
        <v>New "Load.m1_trf_5286814a" bus1="82027655286814.1.2.3.4" phases=3 conn=Wye model=2 kv=0.380 kw=37,660330910372 kvar=17,4543347093106 daily="CURVA" status=variable vmaxpu=1.5 vminpu=0.92</v>
      </c>
      <c r="G176" t="s">
        <v>290</v>
      </c>
      <c r="H176" t="s">
        <v>303</v>
      </c>
      <c r="I176" s="5" t="str">
        <f t="shared" si="16"/>
        <v>m1_trf_5286814a</v>
      </c>
      <c r="J176" t="s">
        <v>291</v>
      </c>
      <c r="K176" t="s">
        <v>292</v>
      </c>
      <c r="L176" s="13" t="str">
        <f t="shared" si="17"/>
        <v>82027655286814</v>
      </c>
      <c r="M176" t="s">
        <v>293</v>
      </c>
      <c r="N176" t="s">
        <v>294</v>
      </c>
      <c r="O176" t="s">
        <v>295</v>
      </c>
      <c r="P176" t="s">
        <v>304</v>
      </c>
      <c r="Q176" t="s">
        <v>297</v>
      </c>
      <c r="R176" t="s">
        <v>298</v>
      </c>
      <c r="S176" s="5">
        <f t="shared" si="18"/>
        <v>37.660330910371997</v>
      </c>
      <c r="T176" t="s">
        <v>299</v>
      </c>
      <c r="U176" s="5">
        <f t="shared" si="19"/>
        <v>17.454334709310601</v>
      </c>
      <c r="V176" t="s">
        <v>448</v>
      </c>
      <c r="W176" t="s">
        <v>300</v>
      </c>
      <c r="X176" t="s">
        <v>301</v>
      </c>
      <c r="Y176" t="s">
        <v>302</v>
      </c>
    </row>
    <row r="177" spans="1:25" x14ac:dyDescent="0.25">
      <c r="A177" t="s">
        <v>337</v>
      </c>
      <c r="B177">
        <v>42.853782373774301</v>
      </c>
      <c r="C177">
        <v>19.932590340743001</v>
      </c>
      <c r="D177" s="11" t="s">
        <v>177</v>
      </c>
      <c r="F177" s="8" t="str">
        <f t="shared" si="15"/>
        <v>New "Load.m1_trf_5286815a" bus1="82027735286815.1.2.3.4" phases=3 conn=Wye model=2 kv=0.380 kw=42,8537823737743 kvar=19,932590340743 daily="CURVA" status=variable vmaxpu=1.5 vminpu=0.92</v>
      </c>
      <c r="G177" t="s">
        <v>290</v>
      </c>
      <c r="H177" t="s">
        <v>303</v>
      </c>
      <c r="I177" s="5" t="str">
        <f t="shared" si="16"/>
        <v>m1_trf_5286815a</v>
      </c>
      <c r="J177" t="s">
        <v>291</v>
      </c>
      <c r="K177" t="s">
        <v>292</v>
      </c>
      <c r="L177" s="13" t="str">
        <f t="shared" si="17"/>
        <v>82027735286815</v>
      </c>
      <c r="M177" t="s">
        <v>293</v>
      </c>
      <c r="N177" t="s">
        <v>294</v>
      </c>
      <c r="O177" t="s">
        <v>295</v>
      </c>
      <c r="P177" t="s">
        <v>304</v>
      </c>
      <c r="Q177" t="s">
        <v>297</v>
      </c>
      <c r="R177" t="s">
        <v>298</v>
      </c>
      <c r="S177" s="5">
        <f t="shared" si="18"/>
        <v>42.853782373774301</v>
      </c>
      <c r="T177" t="s">
        <v>299</v>
      </c>
      <c r="U177" s="5">
        <f t="shared" si="19"/>
        <v>19.932590340743001</v>
      </c>
      <c r="V177" t="s">
        <v>448</v>
      </c>
      <c r="W177" t="s">
        <v>300</v>
      </c>
      <c r="X177" t="s">
        <v>301</v>
      </c>
      <c r="Y177" t="s">
        <v>302</v>
      </c>
    </row>
    <row r="178" spans="1:25" x14ac:dyDescent="0.25">
      <c r="A178" t="s">
        <v>338</v>
      </c>
      <c r="B178">
        <v>35.120474036207497</v>
      </c>
      <c r="C178">
        <v>16.4381312705117</v>
      </c>
      <c r="D178" s="11" t="s">
        <v>178</v>
      </c>
      <c r="F178" s="8" t="str">
        <f t="shared" si="15"/>
        <v>New "Load.m1_trf_5286816a" bus1="82029355286816.1.2.3.4" phases=3 conn=Wye model=2 kv=0.380 kw=35,1204740362075 kvar=16,4381312705117 daily="CURVA" status=variable vmaxpu=1.5 vminpu=0.92</v>
      </c>
      <c r="G178" t="s">
        <v>290</v>
      </c>
      <c r="H178" t="s">
        <v>303</v>
      </c>
      <c r="I178" s="5" t="str">
        <f t="shared" si="16"/>
        <v>m1_trf_5286816a</v>
      </c>
      <c r="J178" t="s">
        <v>291</v>
      </c>
      <c r="K178" t="s">
        <v>292</v>
      </c>
      <c r="L178" s="13" t="str">
        <f t="shared" si="17"/>
        <v>82029355286816</v>
      </c>
      <c r="M178" t="s">
        <v>293</v>
      </c>
      <c r="N178" t="s">
        <v>294</v>
      </c>
      <c r="O178" t="s">
        <v>295</v>
      </c>
      <c r="P178" t="s">
        <v>304</v>
      </c>
      <c r="Q178" t="s">
        <v>297</v>
      </c>
      <c r="R178" t="s">
        <v>298</v>
      </c>
      <c r="S178" s="5">
        <f t="shared" si="18"/>
        <v>35.120474036207497</v>
      </c>
      <c r="T178" t="s">
        <v>299</v>
      </c>
      <c r="U178" s="5">
        <f t="shared" si="19"/>
        <v>16.4381312705117</v>
      </c>
      <c r="V178" t="s">
        <v>448</v>
      </c>
      <c r="W178" t="s">
        <v>300</v>
      </c>
      <c r="X178" t="s">
        <v>301</v>
      </c>
      <c r="Y178" t="s">
        <v>302</v>
      </c>
    </row>
    <row r="179" spans="1:25" x14ac:dyDescent="0.25">
      <c r="A179" t="s">
        <v>339</v>
      </c>
      <c r="B179">
        <v>22.1749858759426</v>
      </c>
      <c r="C179">
        <v>10.233088381850999</v>
      </c>
      <c r="D179" s="11" t="s">
        <v>179</v>
      </c>
      <c r="F179" s="8" t="str">
        <f t="shared" si="15"/>
        <v>New "Load.m1_trf_5286817a" bus1="82029275286817.1.2.3.4" phases=3 conn=Wye model=2 kv=0.380 kw=22,1749858759426 kvar=10,233088381851 daily="CURVA" status=variable vmaxpu=1.5 vminpu=0.92</v>
      </c>
      <c r="G179" t="s">
        <v>290</v>
      </c>
      <c r="H179" t="s">
        <v>303</v>
      </c>
      <c r="I179" s="5" t="str">
        <f t="shared" si="16"/>
        <v>m1_trf_5286817a</v>
      </c>
      <c r="J179" t="s">
        <v>291</v>
      </c>
      <c r="K179" t="s">
        <v>292</v>
      </c>
      <c r="L179" s="13" t="str">
        <f t="shared" si="17"/>
        <v>82029275286817</v>
      </c>
      <c r="M179" t="s">
        <v>293</v>
      </c>
      <c r="N179" t="s">
        <v>294</v>
      </c>
      <c r="O179" t="s">
        <v>295</v>
      </c>
      <c r="P179" t="s">
        <v>304</v>
      </c>
      <c r="Q179" t="s">
        <v>297</v>
      </c>
      <c r="R179" t="s">
        <v>298</v>
      </c>
      <c r="S179" s="5">
        <f t="shared" si="18"/>
        <v>22.1749858759426</v>
      </c>
      <c r="T179" t="s">
        <v>299</v>
      </c>
      <c r="U179" s="5">
        <f t="shared" si="19"/>
        <v>10.233088381850999</v>
      </c>
      <c r="V179" t="s">
        <v>448</v>
      </c>
      <c r="W179" t="s">
        <v>300</v>
      </c>
      <c r="X179" t="s">
        <v>301</v>
      </c>
      <c r="Y179" t="s">
        <v>302</v>
      </c>
    </row>
    <row r="180" spans="1:25" x14ac:dyDescent="0.25">
      <c r="A180" t="s">
        <v>340</v>
      </c>
      <c r="B180">
        <v>14.141650285511499</v>
      </c>
      <c r="C180">
        <v>6.5098211802530699</v>
      </c>
      <c r="D180" s="11" t="s">
        <v>180</v>
      </c>
      <c r="F180" s="8" t="str">
        <f t="shared" si="15"/>
        <v>New "Load.m1_trf_5286818a" bus1="82028855286818.1.2.3.4" phases=3 conn=Wye model=2 kv=0.380 kw=14,1416502855115 kvar=6,50982118025307 daily="CURVA" status=variable vmaxpu=1.5 vminpu=0.92</v>
      </c>
      <c r="G180" t="s">
        <v>290</v>
      </c>
      <c r="H180" t="s">
        <v>303</v>
      </c>
      <c r="I180" s="5" t="str">
        <f t="shared" si="16"/>
        <v>m1_trf_5286818a</v>
      </c>
      <c r="J180" t="s">
        <v>291</v>
      </c>
      <c r="K180" t="s">
        <v>292</v>
      </c>
      <c r="L180" s="13" t="str">
        <f t="shared" si="17"/>
        <v>82028855286818</v>
      </c>
      <c r="M180" t="s">
        <v>293</v>
      </c>
      <c r="N180" t="s">
        <v>294</v>
      </c>
      <c r="O180" t="s">
        <v>295</v>
      </c>
      <c r="P180" t="s">
        <v>304</v>
      </c>
      <c r="Q180" t="s">
        <v>297</v>
      </c>
      <c r="R180" t="s">
        <v>298</v>
      </c>
      <c r="S180" s="5">
        <f t="shared" si="18"/>
        <v>14.141650285511499</v>
      </c>
      <c r="T180" t="s">
        <v>299</v>
      </c>
      <c r="U180" s="5">
        <f t="shared" si="19"/>
        <v>6.5098211802530699</v>
      </c>
      <c r="V180" t="s">
        <v>448</v>
      </c>
      <c r="W180" t="s">
        <v>300</v>
      </c>
      <c r="X180" t="s">
        <v>301</v>
      </c>
      <c r="Y180" t="s">
        <v>302</v>
      </c>
    </row>
    <row r="181" spans="1:25" x14ac:dyDescent="0.25">
      <c r="A181" t="s">
        <v>341</v>
      </c>
      <c r="B181">
        <v>37.721840218449302</v>
      </c>
      <c r="C181">
        <v>17.5073414719628</v>
      </c>
      <c r="D181" s="11" t="s">
        <v>181</v>
      </c>
      <c r="F181" s="8" t="str">
        <f t="shared" si="15"/>
        <v>New "Load.m1_trf_5286819a" bus1="82027135286819.1.2.3.4" phases=3 conn=Wye model=2 kv=0.380 kw=37,7218402184493 kvar=17,5073414719628 daily="CURVA" status=variable vmaxpu=1.5 vminpu=0.92</v>
      </c>
      <c r="G181" t="s">
        <v>290</v>
      </c>
      <c r="H181" t="s">
        <v>303</v>
      </c>
      <c r="I181" s="5" t="str">
        <f t="shared" si="16"/>
        <v>m1_trf_5286819a</v>
      </c>
      <c r="J181" t="s">
        <v>291</v>
      </c>
      <c r="K181" t="s">
        <v>292</v>
      </c>
      <c r="L181" s="13" t="str">
        <f t="shared" si="17"/>
        <v>82027135286819</v>
      </c>
      <c r="M181" t="s">
        <v>293</v>
      </c>
      <c r="N181" t="s">
        <v>294</v>
      </c>
      <c r="O181" t="s">
        <v>295</v>
      </c>
      <c r="P181" t="s">
        <v>304</v>
      </c>
      <c r="Q181" t="s">
        <v>297</v>
      </c>
      <c r="R181" t="s">
        <v>298</v>
      </c>
      <c r="S181" s="5">
        <f t="shared" si="18"/>
        <v>37.721840218449302</v>
      </c>
      <c r="T181" t="s">
        <v>299</v>
      </c>
      <c r="U181" s="5">
        <f t="shared" si="19"/>
        <v>17.5073414719628</v>
      </c>
      <c r="V181" t="s">
        <v>448</v>
      </c>
      <c r="W181" t="s">
        <v>300</v>
      </c>
      <c r="X181" t="s">
        <v>301</v>
      </c>
      <c r="Y181" t="s">
        <v>302</v>
      </c>
    </row>
    <row r="182" spans="1:25" x14ac:dyDescent="0.25">
      <c r="A182" t="s">
        <v>342</v>
      </c>
      <c r="B182">
        <v>25.325004493287398</v>
      </c>
      <c r="C182">
        <v>11.6695843017872</v>
      </c>
      <c r="D182" s="11" t="s">
        <v>182</v>
      </c>
      <c r="F182" s="8" t="str">
        <f t="shared" si="15"/>
        <v>New "Load.m1_trf_5286820a" bus1="82026625286820.1.2.3.4" phases=3 conn=Wye model=2 kv=0.380 kw=25,3250044932874 kvar=11,6695843017872 daily="CURVA" status=variable vmaxpu=1.5 vminpu=0.92</v>
      </c>
      <c r="G182" t="s">
        <v>290</v>
      </c>
      <c r="H182" t="s">
        <v>303</v>
      </c>
      <c r="I182" s="5" t="str">
        <f t="shared" si="16"/>
        <v>m1_trf_5286820a</v>
      </c>
      <c r="J182" t="s">
        <v>291</v>
      </c>
      <c r="K182" t="s">
        <v>292</v>
      </c>
      <c r="L182" s="13" t="str">
        <f t="shared" si="17"/>
        <v>82026625286820</v>
      </c>
      <c r="M182" t="s">
        <v>293</v>
      </c>
      <c r="N182" t="s">
        <v>294</v>
      </c>
      <c r="O182" t="s">
        <v>295</v>
      </c>
      <c r="P182" t="s">
        <v>304</v>
      </c>
      <c r="Q182" t="s">
        <v>297</v>
      </c>
      <c r="R182" t="s">
        <v>298</v>
      </c>
      <c r="S182" s="5">
        <f t="shared" si="18"/>
        <v>25.325004493287398</v>
      </c>
      <c r="T182" t="s">
        <v>299</v>
      </c>
      <c r="U182" s="5">
        <f t="shared" si="19"/>
        <v>11.6695843017872</v>
      </c>
      <c r="V182" t="s">
        <v>448</v>
      </c>
      <c r="W182" t="s">
        <v>300</v>
      </c>
      <c r="X182" t="s">
        <v>301</v>
      </c>
      <c r="Y182" t="s">
        <v>302</v>
      </c>
    </row>
    <row r="183" spans="1:25" x14ac:dyDescent="0.25">
      <c r="A183" t="s">
        <v>343</v>
      </c>
      <c r="B183">
        <v>50.507524455555902</v>
      </c>
      <c r="C183">
        <v>23.617834925150301</v>
      </c>
      <c r="D183" s="11" t="s">
        <v>183</v>
      </c>
      <c r="F183" s="8" t="str">
        <f t="shared" si="15"/>
        <v>New "Load.m1_trf_5286821a" bus1="82025745286821.1.2.3.4" phases=3 conn=Wye model=2 kv=0.380 kw=50,5075244555559 kvar=23,6178349251503 daily="CURVA" status=variable vmaxpu=1.5 vminpu=0.92</v>
      </c>
      <c r="G183" t="s">
        <v>290</v>
      </c>
      <c r="H183" t="s">
        <v>303</v>
      </c>
      <c r="I183" s="5" t="str">
        <f t="shared" si="16"/>
        <v>m1_trf_5286821a</v>
      </c>
      <c r="J183" t="s">
        <v>291</v>
      </c>
      <c r="K183" t="s">
        <v>292</v>
      </c>
      <c r="L183" s="13" t="str">
        <f t="shared" si="17"/>
        <v>82025745286821</v>
      </c>
      <c r="M183" t="s">
        <v>293</v>
      </c>
      <c r="N183" t="s">
        <v>294</v>
      </c>
      <c r="O183" t="s">
        <v>295</v>
      </c>
      <c r="P183" t="s">
        <v>304</v>
      </c>
      <c r="Q183" t="s">
        <v>297</v>
      </c>
      <c r="R183" t="s">
        <v>298</v>
      </c>
      <c r="S183" s="5">
        <f t="shared" si="18"/>
        <v>50.507524455555902</v>
      </c>
      <c r="T183" t="s">
        <v>299</v>
      </c>
      <c r="U183" s="5">
        <f t="shared" si="19"/>
        <v>23.617834925150301</v>
      </c>
      <c r="V183" t="s">
        <v>448</v>
      </c>
      <c r="W183" t="s">
        <v>300</v>
      </c>
      <c r="X183" t="s">
        <v>301</v>
      </c>
      <c r="Y183" t="s">
        <v>302</v>
      </c>
    </row>
    <row r="184" spans="1:25" x14ac:dyDescent="0.25">
      <c r="A184" t="s">
        <v>344</v>
      </c>
      <c r="B184">
        <v>27.4438807906939</v>
      </c>
      <c r="C184">
        <v>13.123739451200301</v>
      </c>
      <c r="D184" s="11" t="s">
        <v>184</v>
      </c>
      <c r="F184" s="8" t="str">
        <f t="shared" si="15"/>
        <v>New "Load.m1_trf_5286828a" bus1="82042655286828.1.2.3.4" phases=3 conn=Wye model=2 kv=0.380 kw=27,4438807906939 kvar=13,1237394512003 daily="CURVA" status=variable vmaxpu=1.5 vminpu=0.92</v>
      </c>
      <c r="G184" t="s">
        <v>290</v>
      </c>
      <c r="H184" t="s">
        <v>303</v>
      </c>
      <c r="I184" s="5" t="str">
        <f t="shared" si="16"/>
        <v>m1_trf_5286828a</v>
      </c>
      <c r="J184" t="s">
        <v>291</v>
      </c>
      <c r="K184" t="s">
        <v>292</v>
      </c>
      <c r="L184" s="13" t="str">
        <f t="shared" si="17"/>
        <v>82042655286828</v>
      </c>
      <c r="M184" t="s">
        <v>293</v>
      </c>
      <c r="N184" t="s">
        <v>294</v>
      </c>
      <c r="O184" t="s">
        <v>295</v>
      </c>
      <c r="P184" t="s">
        <v>304</v>
      </c>
      <c r="Q184" t="s">
        <v>297</v>
      </c>
      <c r="R184" t="s">
        <v>298</v>
      </c>
      <c r="S184" s="5">
        <f t="shared" si="18"/>
        <v>27.4438807906939</v>
      </c>
      <c r="T184" t="s">
        <v>299</v>
      </c>
      <c r="U184" s="5">
        <f t="shared" si="19"/>
        <v>13.123739451200301</v>
      </c>
      <c r="V184" t="s">
        <v>448</v>
      </c>
      <c r="W184" t="s">
        <v>300</v>
      </c>
      <c r="X184" t="s">
        <v>301</v>
      </c>
      <c r="Y184" t="s">
        <v>302</v>
      </c>
    </row>
    <row r="185" spans="1:25" x14ac:dyDescent="0.25">
      <c r="A185" t="s">
        <v>345</v>
      </c>
      <c r="B185">
        <v>15.555257711882</v>
      </c>
      <c r="C185">
        <v>7.2732127483837603</v>
      </c>
      <c r="D185" s="11" t="s">
        <v>185</v>
      </c>
      <c r="F185" s="8" t="str">
        <f t="shared" si="15"/>
        <v>New "Load.m1_trf_5286829a" bus1="81490995286829.1.2.3.4" phases=3 conn=Wye model=2 kv=0.380 kw=15,555257711882 kvar=7,27321274838376 daily="CURVA" status=variable vmaxpu=1.5 vminpu=0.92</v>
      </c>
      <c r="G185" t="s">
        <v>290</v>
      </c>
      <c r="H185" t="s">
        <v>303</v>
      </c>
      <c r="I185" s="5" t="str">
        <f t="shared" si="16"/>
        <v>m1_trf_5286829a</v>
      </c>
      <c r="J185" t="s">
        <v>291</v>
      </c>
      <c r="K185" t="s">
        <v>292</v>
      </c>
      <c r="L185" s="13" t="str">
        <f t="shared" si="17"/>
        <v>81490995286829</v>
      </c>
      <c r="M185" t="s">
        <v>293</v>
      </c>
      <c r="N185" t="s">
        <v>294</v>
      </c>
      <c r="O185" t="s">
        <v>295</v>
      </c>
      <c r="P185" t="s">
        <v>304</v>
      </c>
      <c r="Q185" t="s">
        <v>297</v>
      </c>
      <c r="R185" t="s">
        <v>298</v>
      </c>
      <c r="S185" s="5">
        <f t="shared" si="18"/>
        <v>15.555257711882</v>
      </c>
      <c r="T185" t="s">
        <v>299</v>
      </c>
      <c r="U185" s="5">
        <f t="shared" si="19"/>
        <v>7.2732127483837603</v>
      </c>
      <c r="V185" t="s">
        <v>448</v>
      </c>
      <c r="W185" t="s">
        <v>300</v>
      </c>
      <c r="X185" t="s">
        <v>301</v>
      </c>
      <c r="Y185" t="s">
        <v>302</v>
      </c>
    </row>
    <row r="186" spans="1:25" x14ac:dyDescent="0.25">
      <c r="A186" t="s">
        <v>346</v>
      </c>
      <c r="B186">
        <v>32.872570102692599</v>
      </c>
      <c r="C186">
        <v>15.610987814360501</v>
      </c>
      <c r="D186" s="11" t="s">
        <v>186</v>
      </c>
      <c r="F186" s="8" t="str">
        <f t="shared" si="15"/>
        <v>New "Load.m1_trf_5286830a" bus1="81460505286830.1.2.3.4" phases=3 conn=Wye model=2 kv=0.380 kw=32,8725701026926 kvar=15,6109878143605 daily="CURVA" status=variable vmaxpu=1.5 vminpu=0.92</v>
      </c>
      <c r="G186" t="s">
        <v>290</v>
      </c>
      <c r="H186" t="s">
        <v>303</v>
      </c>
      <c r="I186" s="5" t="str">
        <f t="shared" si="16"/>
        <v>m1_trf_5286830a</v>
      </c>
      <c r="J186" t="s">
        <v>291</v>
      </c>
      <c r="K186" t="s">
        <v>292</v>
      </c>
      <c r="L186" s="13" t="str">
        <f t="shared" si="17"/>
        <v>81460505286830</v>
      </c>
      <c r="M186" t="s">
        <v>293</v>
      </c>
      <c r="N186" t="s">
        <v>294</v>
      </c>
      <c r="O186" t="s">
        <v>295</v>
      </c>
      <c r="P186" t="s">
        <v>304</v>
      </c>
      <c r="Q186" t="s">
        <v>297</v>
      </c>
      <c r="R186" t="s">
        <v>298</v>
      </c>
      <c r="S186" s="5">
        <f t="shared" si="18"/>
        <v>32.872570102692599</v>
      </c>
      <c r="T186" t="s">
        <v>299</v>
      </c>
      <c r="U186" s="5">
        <f t="shared" si="19"/>
        <v>15.610987814360501</v>
      </c>
      <c r="V186" t="s">
        <v>448</v>
      </c>
      <c r="W186" t="s">
        <v>300</v>
      </c>
      <c r="X186" t="s">
        <v>301</v>
      </c>
      <c r="Y186" t="s">
        <v>302</v>
      </c>
    </row>
    <row r="187" spans="1:25" x14ac:dyDescent="0.25">
      <c r="A187" t="s">
        <v>347</v>
      </c>
      <c r="B187">
        <v>27.3081814129911</v>
      </c>
      <c r="C187">
        <v>12.750994461654001</v>
      </c>
      <c r="D187" s="11" t="s">
        <v>187</v>
      </c>
      <c r="F187" s="8" t="str">
        <f t="shared" si="15"/>
        <v>New "Load.m1_trf_5286831a" bus1="82043025286831.1.2.3.4" phases=3 conn=Wye model=2 kv=0.380 kw=27,3081814129911 kvar=12,750994461654 daily="CURVA" status=variable vmaxpu=1.5 vminpu=0.92</v>
      </c>
      <c r="G187" t="s">
        <v>290</v>
      </c>
      <c r="H187" t="s">
        <v>303</v>
      </c>
      <c r="I187" s="5" t="str">
        <f t="shared" si="16"/>
        <v>m1_trf_5286831a</v>
      </c>
      <c r="J187" t="s">
        <v>291</v>
      </c>
      <c r="K187" t="s">
        <v>292</v>
      </c>
      <c r="L187" s="13" t="str">
        <f t="shared" si="17"/>
        <v>82043025286831</v>
      </c>
      <c r="M187" t="s">
        <v>293</v>
      </c>
      <c r="N187" t="s">
        <v>294</v>
      </c>
      <c r="O187" t="s">
        <v>295</v>
      </c>
      <c r="P187" t="s">
        <v>304</v>
      </c>
      <c r="Q187" t="s">
        <v>297</v>
      </c>
      <c r="R187" t="s">
        <v>298</v>
      </c>
      <c r="S187" s="5">
        <f t="shared" si="18"/>
        <v>27.3081814129911</v>
      </c>
      <c r="T187" t="s">
        <v>299</v>
      </c>
      <c r="U187" s="5">
        <f t="shared" si="19"/>
        <v>12.750994461654001</v>
      </c>
      <c r="V187" t="s">
        <v>448</v>
      </c>
      <c r="W187" t="s">
        <v>300</v>
      </c>
      <c r="X187" t="s">
        <v>301</v>
      </c>
      <c r="Y187" t="s">
        <v>302</v>
      </c>
    </row>
    <row r="188" spans="1:25" x14ac:dyDescent="0.25">
      <c r="A188" t="s">
        <v>348</v>
      </c>
      <c r="B188">
        <v>22.566962698899701</v>
      </c>
      <c r="C188">
        <v>10.4444875162967</v>
      </c>
      <c r="D188" s="11" t="s">
        <v>188</v>
      </c>
      <c r="F188" s="8" t="str">
        <f t="shared" si="15"/>
        <v>New "Load.m1_trf_5286832a" bus1="82042575286832.1.2.3.4" phases=3 conn=Wye model=2 kv=0.380 kw=22,5669626988997 kvar=10,4444875162967 daily="CURVA" status=variable vmaxpu=1.5 vminpu=0.92</v>
      </c>
      <c r="G188" t="s">
        <v>290</v>
      </c>
      <c r="H188" t="s">
        <v>303</v>
      </c>
      <c r="I188" s="5" t="str">
        <f t="shared" si="16"/>
        <v>m1_trf_5286832a</v>
      </c>
      <c r="J188" t="s">
        <v>291</v>
      </c>
      <c r="K188" t="s">
        <v>292</v>
      </c>
      <c r="L188" s="13" t="str">
        <f t="shared" si="17"/>
        <v>82042575286832</v>
      </c>
      <c r="M188" t="s">
        <v>293</v>
      </c>
      <c r="N188" t="s">
        <v>294</v>
      </c>
      <c r="O188" t="s">
        <v>295</v>
      </c>
      <c r="P188" t="s">
        <v>304</v>
      </c>
      <c r="Q188" t="s">
        <v>297</v>
      </c>
      <c r="R188" t="s">
        <v>298</v>
      </c>
      <c r="S188" s="5">
        <f t="shared" si="18"/>
        <v>22.566962698899701</v>
      </c>
      <c r="T188" t="s">
        <v>299</v>
      </c>
      <c r="U188" s="5">
        <f t="shared" si="19"/>
        <v>10.4444875162967</v>
      </c>
      <c r="V188" t="s">
        <v>448</v>
      </c>
      <c r="W188" t="s">
        <v>300</v>
      </c>
      <c r="X188" t="s">
        <v>301</v>
      </c>
      <c r="Y188" t="s">
        <v>302</v>
      </c>
    </row>
    <row r="189" spans="1:25" x14ac:dyDescent="0.25">
      <c r="A189" t="s">
        <v>349</v>
      </c>
      <c r="B189">
        <v>29.885910047247599</v>
      </c>
      <c r="C189">
        <v>13.7929545784931</v>
      </c>
      <c r="D189" s="11" t="s">
        <v>189</v>
      </c>
      <c r="F189" s="8" t="str">
        <f t="shared" si="15"/>
        <v>New "Load.m1_trf_5286833a" bus1="82041995286833.1.2.3.4" phases=3 conn=Wye model=2 kv=0.380 kw=29,8859100472476 kvar=13,7929545784931 daily="CURVA" status=variable vmaxpu=1.5 vminpu=0.92</v>
      </c>
      <c r="G189" t="s">
        <v>290</v>
      </c>
      <c r="H189" t="s">
        <v>303</v>
      </c>
      <c r="I189" s="5" t="str">
        <f t="shared" si="16"/>
        <v>m1_trf_5286833a</v>
      </c>
      <c r="J189" t="s">
        <v>291</v>
      </c>
      <c r="K189" t="s">
        <v>292</v>
      </c>
      <c r="L189" s="13" t="str">
        <f t="shared" si="17"/>
        <v>82041995286833</v>
      </c>
      <c r="M189" t="s">
        <v>293</v>
      </c>
      <c r="N189" t="s">
        <v>294</v>
      </c>
      <c r="O189" t="s">
        <v>295</v>
      </c>
      <c r="P189" t="s">
        <v>304</v>
      </c>
      <c r="Q189" t="s">
        <v>297</v>
      </c>
      <c r="R189" t="s">
        <v>298</v>
      </c>
      <c r="S189" s="5">
        <f t="shared" si="18"/>
        <v>29.885910047247599</v>
      </c>
      <c r="T189" t="s">
        <v>299</v>
      </c>
      <c r="U189" s="5">
        <f t="shared" si="19"/>
        <v>13.7929545784931</v>
      </c>
      <c r="V189" t="s">
        <v>448</v>
      </c>
      <c r="W189" t="s">
        <v>300</v>
      </c>
      <c r="X189" t="s">
        <v>301</v>
      </c>
      <c r="Y189" t="s">
        <v>302</v>
      </c>
    </row>
    <row r="190" spans="1:25" x14ac:dyDescent="0.25">
      <c r="A190" t="s">
        <v>350</v>
      </c>
      <c r="B190">
        <v>37.235694780361598</v>
      </c>
      <c r="C190">
        <v>17.4042840750115</v>
      </c>
      <c r="D190" s="11" t="s">
        <v>190</v>
      </c>
      <c r="F190" s="8" t="str">
        <f t="shared" si="15"/>
        <v>New "Load.m1_trf_5286834a" bus1="82038095286834.1.2.3.4" phases=3 conn=Wye model=2 kv=0.380 kw=37,2356947803616 kvar=17,4042840750115 daily="CURVA" status=variable vmaxpu=1.5 vminpu=0.92</v>
      </c>
      <c r="G190" t="s">
        <v>290</v>
      </c>
      <c r="H190" t="s">
        <v>303</v>
      </c>
      <c r="I190" s="5" t="str">
        <f t="shared" si="16"/>
        <v>m1_trf_5286834a</v>
      </c>
      <c r="J190" t="s">
        <v>291</v>
      </c>
      <c r="K190" t="s">
        <v>292</v>
      </c>
      <c r="L190" s="13" t="str">
        <f t="shared" si="17"/>
        <v>82038095286834</v>
      </c>
      <c r="M190" t="s">
        <v>293</v>
      </c>
      <c r="N190" t="s">
        <v>294</v>
      </c>
      <c r="O190" t="s">
        <v>295</v>
      </c>
      <c r="P190" t="s">
        <v>304</v>
      </c>
      <c r="Q190" t="s">
        <v>297</v>
      </c>
      <c r="R190" t="s">
        <v>298</v>
      </c>
      <c r="S190" s="5">
        <f t="shared" si="18"/>
        <v>37.235694780361598</v>
      </c>
      <c r="T190" t="s">
        <v>299</v>
      </c>
      <c r="U190" s="5">
        <f t="shared" si="19"/>
        <v>17.4042840750115</v>
      </c>
      <c r="V190" t="s">
        <v>448</v>
      </c>
      <c r="W190" t="s">
        <v>300</v>
      </c>
      <c r="X190" t="s">
        <v>301</v>
      </c>
      <c r="Y190" t="s">
        <v>302</v>
      </c>
    </row>
    <row r="191" spans="1:25" x14ac:dyDescent="0.25">
      <c r="A191" t="s">
        <v>351</v>
      </c>
      <c r="B191">
        <v>31.1131256356819</v>
      </c>
      <c r="C191">
        <v>14.442020650085301</v>
      </c>
      <c r="D191" s="11" t="s">
        <v>191</v>
      </c>
      <c r="F191" s="8" t="str">
        <f t="shared" si="15"/>
        <v>New "Load.m1_trf_5286835a" bus1="82038115286835.1.2.3.4" phases=3 conn=Wye model=2 kv=0.380 kw=31,1131256356819 kvar=14,4420206500853 daily="CURVA" status=variable vmaxpu=1.5 vminpu=0.92</v>
      </c>
      <c r="G191" t="s">
        <v>290</v>
      </c>
      <c r="H191" t="s">
        <v>303</v>
      </c>
      <c r="I191" s="5" t="str">
        <f t="shared" si="16"/>
        <v>m1_trf_5286835a</v>
      </c>
      <c r="J191" t="s">
        <v>291</v>
      </c>
      <c r="K191" t="s">
        <v>292</v>
      </c>
      <c r="L191" s="13" t="str">
        <f t="shared" si="17"/>
        <v>82038115286835</v>
      </c>
      <c r="M191" t="s">
        <v>293</v>
      </c>
      <c r="N191" t="s">
        <v>294</v>
      </c>
      <c r="O191" t="s">
        <v>295</v>
      </c>
      <c r="P191" t="s">
        <v>304</v>
      </c>
      <c r="Q191" t="s">
        <v>297</v>
      </c>
      <c r="R191" t="s">
        <v>298</v>
      </c>
      <c r="S191" s="5">
        <f t="shared" si="18"/>
        <v>31.1131256356819</v>
      </c>
      <c r="T191" t="s">
        <v>299</v>
      </c>
      <c r="U191" s="5">
        <f t="shared" si="19"/>
        <v>14.442020650085301</v>
      </c>
      <c r="V191" t="s">
        <v>448</v>
      </c>
      <c r="W191" t="s">
        <v>300</v>
      </c>
      <c r="X191" t="s">
        <v>301</v>
      </c>
      <c r="Y191" t="s">
        <v>302</v>
      </c>
    </row>
    <row r="192" spans="1:25" x14ac:dyDescent="0.25">
      <c r="A192" t="s">
        <v>352</v>
      </c>
      <c r="B192">
        <v>19.879349973185199</v>
      </c>
      <c r="C192">
        <v>9.1886116300596399</v>
      </c>
      <c r="D192" s="11" t="s">
        <v>192</v>
      </c>
      <c r="F192" s="8" t="str">
        <f t="shared" si="15"/>
        <v>New "Load.m1_trf_5286836a" bus1="82041105286836.1.2.3.4" phases=3 conn=Wye model=2 kv=0.380 kw=19,8793499731852 kvar=9,18861163005964 daily="CURVA" status=variable vmaxpu=1.5 vminpu=0.92</v>
      </c>
      <c r="G192" t="s">
        <v>290</v>
      </c>
      <c r="H192" t="s">
        <v>303</v>
      </c>
      <c r="I192" s="5" t="str">
        <f t="shared" si="16"/>
        <v>m1_trf_5286836a</v>
      </c>
      <c r="J192" t="s">
        <v>291</v>
      </c>
      <c r="K192" t="s">
        <v>292</v>
      </c>
      <c r="L192" s="13" t="str">
        <f t="shared" si="17"/>
        <v>82041105286836</v>
      </c>
      <c r="M192" t="s">
        <v>293</v>
      </c>
      <c r="N192" t="s">
        <v>294</v>
      </c>
      <c r="O192" t="s">
        <v>295</v>
      </c>
      <c r="P192" t="s">
        <v>304</v>
      </c>
      <c r="Q192" t="s">
        <v>297</v>
      </c>
      <c r="R192" t="s">
        <v>298</v>
      </c>
      <c r="S192" s="5">
        <f t="shared" si="18"/>
        <v>19.879349973185199</v>
      </c>
      <c r="T192" t="s">
        <v>299</v>
      </c>
      <c r="U192" s="5">
        <f t="shared" si="19"/>
        <v>9.1886116300596399</v>
      </c>
      <c r="V192" t="s">
        <v>448</v>
      </c>
      <c r="W192" t="s">
        <v>300</v>
      </c>
      <c r="X192" t="s">
        <v>301</v>
      </c>
      <c r="Y192" t="s">
        <v>302</v>
      </c>
    </row>
    <row r="193" spans="1:25" x14ac:dyDescent="0.25">
      <c r="A193" t="s">
        <v>353</v>
      </c>
      <c r="B193">
        <v>10.9527022257711</v>
      </c>
      <c r="C193">
        <v>5.1147095109001697</v>
      </c>
      <c r="D193" s="11" t="s">
        <v>193</v>
      </c>
      <c r="F193" s="8" t="str">
        <f t="shared" si="15"/>
        <v>New "Load.m1_trf_5286837a" bus1="82041215286837.1.2.3.4" phases=3 conn=Wye model=2 kv=0.380 kw=10,9527022257711 kvar=5,11470951090017 daily="CURVA" status=variable vmaxpu=1.5 vminpu=0.92</v>
      </c>
      <c r="G193" t="s">
        <v>290</v>
      </c>
      <c r="H193" t="s">
        <v>303</v>
      </c>
      <c r="I193" s="5" t="str">
        <f t="shared" si="16"/>
        <v>m1_trf_5286837a</v>
      </c>
      <c r="J193" t="s">
        <v>291</v>
      </c>
      <c r="K193" t="s">
        <v>292</v>
      </c>
      <c r="L193" s="13" t="str">
        <f t="shared" si="17"/>
        <v>82041215286837</v>
      </c>
      <c r="M193" t="s">
        <v>293</v>
      </c>
      <c r="N193" t="s">
        <v>294</v>
      </c>
      <c r="O193" t="s">
        <v>295</v>
      </c>
      <c r="P193" t="s">
        <v>304</v>
      </c>
      <c r="Q193" t="s">
        <v>297</v>
      </c>
      <c r="R193" t="s">
        <v>298</v>
      </c>
      <c r="S193" s="5">
        <f t="shared" si="18"/>
        <v>10.9527022257711</v>
      </c>
      <c r="T193" t="s">
        <v>299</v>
      </c>
      <c r="U193" s="5">
        <f t="shared" si="19"/>
        <v>5.1147095109001697</v>
      </c>
      <c r="V193" t="s">
        <v>448</v>
      </c>
      <c r="W193" t="s">
        <v>300</v>
      </c>
      <c r="X193" t="s">
        <v>301</v>
      </c>
      <c r="Y193" t="s">
        <v>302</v>
      </c>
    </row>
    <row r="194" spans="1:25" x14ac:dyDescent="0.25">
      <c r="A194" t="s">
        <v>354</v>
      </c>
      <c r="B194">
        <v>20.956367283014899</v>
      </c>
      <c r="C194">
        <v>9.7108420338541492</v>
      </c>
      <c r="D194" s="11" t="s">
        <v>194</v>
      </c>
      <c r="F194" s="8" t="str">
        <f t="shared" si="15"/>
        <v>New "Load.m1_trf_5286838a" bus1="82041905286838.1.2.3.4" phases=3 conn=Wye model=2 kv=0.380 kw=20,9563672830149 kvar=9,71084203385415 daily="CURVA" status=variable vmaxpu=1.5 vminpu=0.92</v>
      </c>
      <c r="G194" t="s">
        <v>290</v>
      </c>
      <c r="H194" t="s">
        <v>303</v>
      </c>
      <c r="I194" s="5" t="str">
        <f t="shared" si="16"/>
        <v>m1_trf_5286838a</v>
      </c>
      <c r="J194" t="s">
        <v>291</v>
      </c>
      <c r="K194" t="s">
        <v>292</v>
      </c>
      <c r="L194" s="13" t="str">
        <f t="shared" si="17"/>
        <v>82041905286838</v>
      </c>
      <c r="M194" t="s">
        <v>293</v>
      </c>
      <c r="N194" t="s">
        <v>294</v>
      </c>
      <c r="O194" t="s">
        <v>295</v>
      </c>
      <c r="P194" t="s">
        <v>304</v>
      </c>
      <c r="Q194" t="s">
        <v>297</v>
      </c>
      <c r="R194" t="s">
        <v>298</v>
      </c>
      <c r="S194" s="5">
        <f t="shared" si="18"/>
        <v>20.956367283014899</v>
      </c>
      <c r="T194" t="s">
        <v>299</v>
      </c>
      <c r="U194" s="5">
        <f t="shared" si="19"/>
        <v>9.7108420338541492</v>
      </c>
      <c r="V194" t="s">
        <v>448</v>
      </c>
      <c r="W194" t="s">
        <v>300</v>
      </c>
      <c r="X194" t="s">
        <v>301</v>
      </c>
      <c r="Y194" t="s">
        <v>302</v>
      </c>
    </row>
    <row r="195" spans="1:25" x14ac:dyDescent="0.25">
      <c r="A195" t="s">
        <v>355</v>
      </c>
      <c r="B195">
        <v>30.3075499326564</v>
      </c>
      <c r="C195">
        <v>14.1215043837281</v>
      </c>
      <c r="D195" s="11" t="s">
        <v>195</v>
      </c>
      <c r="F195" s="8" t="str">
        <f t="shared" si="15"/>
        <v>New "Load.m1_trf_5286839a" bus1="82038825286839.1.2.3.4" phases=3 conn=Wye model=2 kv=0.380 kw=30,3075499326564 kvar=14,1215043837281 daily="CURVA" status=variable vmaxpu=1.5 vminpu=0.92</v>
      </c>
      <c r="G195" t="s">
        <v>290</v>
      </c>
      <c r="H195" t="s">
        <v>303</v>
      </c>
      <c r="I195" s="5" t="str">
        <f t="shared" si="16"/>
        <v>m1_trf_5286839a</v>
      </c>
      <c r="J195" t="s">
        <v>291</v>
      </c>
      <c r="K195" t="s">
        <v>292</v>
      </c>
      <c r="L195" s="13" t="str">
        <f t="shared" si="17"/>
        <v>82038825286839</v>
      </c>
      <c r="M195" t="s">
        <v>293</v>
      </c>
      <c r="N195" t="s">
        <v>294</v>
      </c>
      <c r="O195" t="s">
        <v>295</v>
      </c>
      <c r="P195" t="s">
        <v>304</v>
      </c>
      <c r="Q195" t="s">
        <v>297</v>
      </c>
      <c r="R195" t="s">
        <v>298</v>
      </c>
      <c r="S195" s="5">
        <f t="shared" si="18"/>
        <v>30.3075499326564</v>
      </c>
      <c r="T195" t="s">
        <v>299</v>
      </c>
      <c r="U195" s="5">
        <f t="shared" si="19"/>
        <v>14.1215043837281</v>
      </c>
      <c r="V195" t="s">
        <v>448</v>
      </c>
      <c r="W195" t="s">
        <v>300</v>
      </c>
      <c r="X195" t="s">
        <v>301</v>
      </c>
      <c r="Y195" t="s">
        <v>302</v>
      </c>
    </row>
    <row r="196" spans="1:25" x14ac:dyDescent="0.25">
      <c r="A196" t="s">
        <v>356</v>
      </c>
      <c r="B196">
        <v>43.203926889161202</v>
      </c>
      <c r="C196">
        <v>20.238919320695398</v>
      </c>
      <c r="D196" s="11" t="s">
        <v>196</v>
      </c>
      <c r="F196" s="8" t="str">
        <f t="shared" si="15"/>
        <v>New "Load.m1_trf_5286840a" bus1="82037555286840.1.2.3.4" phases=3 conn=Wye model=2 kv=0.380 kw=43,2039268891612 kvar=20,2389193206954 daily="CURVA" status=variable vmaxpu=1.5 vminpu=0.92</v>
      </c>
      <c r="G196" t="s">
        <v>290</v>
      </c>
      <c r="H196" t="s">
        <v>303</v>
      </c>
      <c r="I196" s="5" t="str">
        <f t="shared" si="16"/>
        <v>m1_trf_5286840a</v>
      </c>
      <c r="J196" t="s">
        <v>291</v>
      </c>
      <c r="K196" t="s">
        <v>292</v>
      </c>
      <c r="L196" s="13" t="str">
        <f t="shared" si="17"/>
        <v>82037555286840</v>
      </c>
      <c r="M196" t="s">
        <v>293</v>
      </c>
      <c r="N196" t="s">
        <v>294</v>
      </c>
      <c r="O196" t="s">
        <v>295</v>
      </c>
      <c r="P196" t="s">
        <v>304</v>
      </c>
      <c r="Q196" t="s">
        <v>297</v>
      </c>
      <c r="R196" t="s">
        <v>298</v>
      </c>
      <c r="S196" s="5">
        <f t="shared" si="18"/>
        <v>43.203926889161202</v>
      </c>
      <c r="T196" t="s">
        <v>299</v>
      </c>
      <c r="U196" s="5">
        <f t="shared" si="19"/>
        <v>20.238919320695398</v>
      </c>
      <c r="V196" t="s">
        <v>448</v>
      </c>
      <c r="W196" t="s">
        <v>300</v>
      </c>
      <c r="X196" t="s">
        <v>301</v>
      </c>
      <c r="Y196" t="s">
        <v>302</v>
      </c>
    </row>
    <row r="197" spans="1:25" x14ac:dyDescent="0.25">
      <c r="A197" t="s">
        <v>357</v>
      </c>
      <c r="B197">
        <v>26.0398476374456</v>
      </c>
      <c r="C197">
        <v>12.0593831641464</v>
      </c>
      <c r="D197" s="11" t="s">
        <v>197</v>
      </c>
      <c r="F197" s="8" t="str">
        <f t="shared" si="15"/>
        <v>New "Load.m1_trf_5286841a" bus1="82039455286841.1.2.3.4" phases=3 conn=Wye model=2 kv=0.380 kw=26,0398476374456 kvar=12,0593831641464 daily="CURVA" status=variable vmaxpu=1.5 vminpu=0.92</v>
      </c>
      <c r="G197" t="s">
        <v>290</v>
      </c>
      <c r="H197" t="s">
        <v>303</v>
      </c>
      <c r="I197" s="5" t="str">
        <f t="shared" si="16"/>
        <v>m1_trf_5286841a</v>
      </c>
      <c r="J197" t="s">
        <v>291</v>
      </c>
      <c r="K197" t="s">
        <v>292</v>
      </c>
      <c r="L197" s="13" t="str">
        <f t="shared" si="17"/>
        <v>82039455286841</v>
      </c>
      <c r="M197" t="s">
        <v>293</v>
      </c>
      <c r="N197" t="s">
        <v>294</v>
      </c>
      <c r="O197" t="s">
        <v>295</v>
      </c>
      <c r="P197" t="s">
        <v>304</v>
      </c>
      <c r="Q197" t="s">
        <v>297</v>
      </c>
      <c r="R197" t="s">
        <v>298</v>
      </c>
      <c r="S197" s="5">
        <f t="shared" si="18"/>
        <v>26.0398476374456</v>
      </c>
      <c r="T197" t="s">
        <v>299</v>
      </c>
      <c r="U197" s="5">
        <f t="shared" si="19"/>
        <v>12.0593831641464</v>
      </c>
      <c r="V197" t="s">
        <v>448</v>
      </c>
      <c r="W197" t="s">
        <v>300</v>
      </c>
      <c r="X197" t="s">
        <v>301</v>
      </c>
      <c r="Y197" t="s">
        <v>302</v>
      </c>
    </row>
    <row r="198" spans="1:25" x14ac:dyDescent="0.25">
      <c r="A198" t="s">
        <v>358</v>
      </c>
      <c r="B198">
        <v>28.0660381429383</v>
      </c>
      <c r="C198">
        <v>12.9758045486541</v>
      </c>
      <c r="D198" s="11" t="s">
        <v>198</v>
      </c>
      <c r="F198" s="8" t="str">
        <f t="shared" si="15"/>
        <v>New "Load.m1_trf_5286842a" bus1="82039695286842.1.2.3.4" phases=3 conn=Wye model=2 kv=0.380 kw=28,0660381429383 kvar=12,9758045486541 daily="CURVA" status=variable vmaxpu=1.5 vminpu=0.92</v>
      </c>
      <c r="G198" t="s">
        <v>290</v>
      </c>
      <c r="H198" t="s">
        <v>303</v>
      </c>
      <c r="I198" s="5" t="str">
        <f t="shared" si="16"/>
        <v>m1_trf_5286842a</v>
      </c>
      <c r="J198" t="s">
        <v>291</v>
      </c>
      <c r="K198" t="s">
        <v>292</v>
      </c>
      <c r="L198" s="13" t="str">
        <f t="shared" si="17"/>
        <v>82039695286842</v>
      </c>
      <c r="M198" t="s">
        <v>293</v>
      </c>
      <c r="N198" t="s">
        <v>294</v>
      </c>
      <c r="O198" t="s">
        <v>295</v>
      </c>
      <c r="P198" t="s">
        <v>304</v>
      </c>
      <c r="Q198" t="s">
        <v>297</v>
      </c>
      <c r="R198" t="s">
        <v>298</v>
      </c>
      <c r="S198" s="5">
        <f t="shared" si="18"/>
        <v>28.0660381429383</v>
      </c>
      <c r="T198" t="s">
        <v>299</v>
      </c>
      <c r="U198" s="5">
        <f t="shared" si="19"/>
        <v>12.9758045486541</v>
      </c>
      <c r="V198" t="s">
        <v>448</v>
      </c>
      <c r="W198" t="s">
        <v>300</v>
      </c>
      <c r="X198" t="s">
        <v>301</v>
      </c>
      <c r="Y198" t="s">
        <v>302</v>
      </c>
    </row>
    <row r="199" spans="1:25" x14ac:dyDescent="0.25">
      <c r="A199" t="s">
        <v>359</v>
      </c>
      <c r="B199">
        <v>21.403727235449999</v>
      </c>
      <c r="C199">
        <v>9.9455910554210902</v>
      </c>
      <c r="D199" s="11" t="s">
        <v>199</v>
      </c>
      <c r="F199" s="8" t="str">
        <f t="shared" si="15"/>
        <v>New "Load.m1_trf_5286843a" bus1="82042105286843.1.2.3.4" phases=3 conn=Wye model=2 kv=0.380 kw=21,40372723545 kvar=9,94559105542109 daily="CURVA" status=variable vmaxpu=1.5 vminpu=0.92</v>
      </c>
      <c r="G199" t="s">
        <v>290</v>
      </c>
      <c r="H199" t="s">
        <v>303</v>
      </c>
      <c r="I199" s="5" t="str">
        <f t="shared" si="16"/>
        <v>m1_trf_5286843a</v>
      </c>
      <c r="J199" t="s">
        <v>291</v>
      </c>
      <c r="K199" t="s">
        <v>292</v>
      </c>
      <c r="L199" s="13" t="str">
        <f t="shared" si="17"/>
        <v>82042105286843</v>
      </c>
      <c r="M199" t="s">
        <v>293</v>
      </c>
      <c r="N199" t="s">
        <v>294</v>
      </c>
      <c r="O199" t="s">
        <v>295</v>
      </c>
      <c r="P199" t="s">
        <v>304</v>
      </c>
      <c r="Q199" t="s">
        <v>297</v>
      </c>
      <c r="R199" t="s">
        <v>298</v>
      </c>
      <c r="S199" s="5">
        <f t="shared" si="18"/>
        <v>21.403727235449999</v>
      </c>
      <c r="T199" t="s">
        <v>299</v>
      </c>
      <c r="U199" s="5">
        <f t="shared" si="19"/>
        <v>9.9455910554210902</v>
      </c>
      <c r="V199" t="s">
        <v>448</v>
      </c>
      <c r="W199" t="s">
        <v>300</v>
      </c>
      <c r="X199" t="s">
        <v>301</v>
      </c>
      <c r="Y199" t="s">
        <v>302</v>
      </c>
    </row>
    <row r="200" spans="1:25" x14ac:dyDescent="0.25">
      <c r="A200" t="s">
        <v>360</v>
      </c>
      <c r="B200">
        <v>19.763154270693899</v>
      </c>
      <c r="C200">
        <v>9.1775845075930498</v>
      </c>
      <c r="D200" s="11" t="s">
        <v>200</v>
      </c>
      <c r="F200" s="8" t="str">
        <f t="shared" si="15"/>
        <v>New "Load.m1_trf_5286844a" bus1="82042165286844.1.2.3.4" phases=3 conn=Wye model=2 kv=0.380 kw=19,7631542706939 kvar=9,17758450759305 daily="CURVA" status=variable vmaxpu=1.5 vminpu=0.92</v>
      </c>
      <c r="G200" t="s">
        <v>290</v>
      </c>
      <c r="H200" t="s">
        <v>303</v>
      </c>
      <c r="I200" s="5" t="str">
        <f t="shared" si="16"/>
        <v>m1_trf_5286844a</v>
      </c>
      <c r="J200" t="s">
        <v>291</v>
      </c>
      <c r="K200" t="s">
        <v>292</v>
      </c>
      <c r="L200" s="13" t="str">
        <f t="shared" si="17"/>
        <v>82042165286844</v>
      </c>
      <c r="M200" t="s">
        <v>293</v>
      </c>
      <c r="N200" t="s">
        <v>294</v>
      </c>
      <c r="O200" t="s">
        <v>295</v>
      </c>
      <c r="P200" t="s">
        <v>304</v>
      </c>
      <c r="Q200" t="s">
        <v>297</v>
      </c>
      <c r="R200" t="s">
        <v>298</v>
      </c>
      <c r="S200" s="5">
        <f t="shared" si="18"/>
        <v>19.763154270693899</v>
      </c>
      <c r="T200" t="s">
        <v>299</v>
      </c>
      <c r="U200" s="5">
        <f t="shared" si="19"/>
        <v>9.1775845075930498</v>
      </c>
      <c r="V200" t="s">
        <v>448</v>
      </c>
      <c r="W200" t="s">
        <v>300</v>
      </c>
      <c r="X200" t="s">
        <v>301</v>
      </c>
      <c r="Y200" t="s">
        <v>302</v>
      </c>
    </row>
    <row r="201" spans="1:25" x14ac:dyDescent="0.25">
      <c r="A201" t="s">
        <v>361</v>
      </c>
      <c r="B201">
        <v>27.203480603139699</v>
      </c>
      <c r="C201">
        <v>12.5695074512755</v>
      </c>
      <c r="D201" s="11" t="s">
        <v>201</v>
      </c>
      <c r="F201" s="8" t="str">
        <f t="shared" si="15"/>
        <v>New "Load.m1_trf_5286845a" bus1="82042275286845.1.2.3.4" phases=3 conn=Wye model=2 kv=0.380 kw=27,2034806031397 kvar=12,5695074512755 daily="CURVA" status=variable vmaxpu=1.5 vminpu=0.92</v>
      </c>
      <c r="G201" t="s">
        <v>290</v>
      </c>
      <c r="H201" t="s">
        <v>303</v>
      </c>
      <c r="I201" s="5" t="str">
        <f t="shared" si="16"/>
        <v>m1_trf_5286845a</v>
      </c>
      <c r="J201" t="s">
        <v>291</v>
      </c>
      <c r="K201" t="s">
        <v>292</v>
      </c>
      <c r="L201" s="13" t="str">
        <f t="shared" si="17"/>
        <v>82042275286845</v>
      </c>
      <c r="M201" t="s">
        <v>293</v>
      </c>
      <c r="N201" t="s">
        <v>294</v>
      </c>
      <c r="O201" t="s">
        <v>295</v>
      </c>
      <c r="P201" t="s">
        <v>304</v>
      </c>
      <c r="Q201" t="s">
        <v>297</v>
      </c>
      <c r="R201" t="s">
        <v>298</v>
      </c>
      <c r="S201" s="5">
        <f t="shared" si="18"/>
        <v>27.203480603139699</v>
      </c>
      <c r="T201" t="s">
        <v>299</v>
      </c>
      <c r="U201" s="5">
        <f t="shared" si="19"/>
        <v>12.5695074512755</v>
      </c>
      <c r="V201" t="s">
        <v>448</v>
      </c>
      <c r="W201" t="s">
        <v>300</v>
      </c>
      <c r="X201" t="s">
        <v>301</v>
      </c>
      <c r="Y201" t="s">
        <v>302</v>
      </c>
    </row>
    <row r="202" spans="1:25" x14ac:dyDescent="0.25">
      <c r="A202" t="s">
        <v>362</v>
      </c>
      <c r="B202">
        <v>21.199211658175599</v>
      </c>
      <c r="C202">
        <v>9.7850924185531891</v>
      </c>
      <c r="D202" s="11" t="s">
        <v>202</v>
      </c>
      <c r="F202" s="8" t="str">
        <f t="shared" si="15"/>
        <v>New "Load.m1_trf_5286846a" bus1="82041545286846.1.2.3.4" phases=3 conn=Wye model=2 kv=0.380 kw=21,1992116581756 kvar=9,78509241855319 daily="CURVA" status=variable vmaxpu=1.5 vminpu=0.92</v>
      </c>
      <c r="G202" t="s">
        <v>290</v>
      </c>
      <c r="H202" t="s">
        <v>303</v>
      </c>
      <c r="I202" s="5" t="str">
        <f t="shared" si="16"/>
        <v>m1_trf_5286846a</v>
      </c>
      <c r="J202" t="s">
        <v>291</v>
      </c>
      <c r="K202" t="s">
        <v>292</v>
      </c>
      <c r="L202" s="13" t="str">
        <f t="shared" si="17"/>
        <v>82041545286846</v>
      </c>
      <c r="M202" t="s">
        <v>293</v>
      </c>
      <c r="N202" t="s">
        <v>294</v>
      </c>
      <c r="O202" t="s">
        <v>295</v>
      </c>
      <c r="P202" t="s">
        <v>304</v>
      </c>
      <c r="Q202" t="s">
        <v>297</v>
      </c>
      <c r="R202" t="s">
        <v>298</v>
      </c>
      <c r="S202" s="5">
        <f t="shared" si="18"/>
        <v>21.199211658175599</v>
      </c>
      <c r="T202" t="s">
        <v>299</v>
      </c>
      <c r="U202" s="5">
        <f t="shared" si="19"/>
        <v>9.7850924185531891</v>
      </c>
      <c r="V202" t="s">
        <v>448</v>
      </c>
      <c r="W202" t="s">
        <v>300</v>
      </c>
      <c r="X202" t="s">
        <v>301</v>
      </c>
      <c r="Y202" t="s">
        <v>302</v>
      </c>
    </row>
    <row r="203" spans="1:25" x14ac:dyDescent="0.25">
      <c r="A203" t="s">
        <v>363</v>
      </c>
      <c r="B203">
        <v>37.275511457303203</v>
      </c>
      <c r="C203">
        <v>17.2336383317155</v>
      </c>
      <c r="D203" s="11" t="s">
        <v>203</v>
      </c>
      <c r="F203" s="8" t="str">
        <f t="shared" si="15"/>
        <v>New "Load.m1_trf_5286857a" bus1="82062475286857.1.2.3.4" phases=3 conn=Wye model=2 kv=0.380 kw=37,2755114573032 kvar=17,2336383317155 daily="CURVA" status=variable vmaxpu=1.5 vminpu=0.92</v>
      </c>
      <c r="G203" t="s">
        <v>290</v>
      </c>
      <c r="H203" t="s">
        <v>303</v>
      </c>
      <c r="I203" s="5" t="str">
        <f t="shared" si="16"/>
        <v>m1_trf_5286857a</v>
      </c>
      <c r="J203" t="s">
        <v>291</v>
      </c>
      <c r="K203" t="s">
        <v>292</v>
      </c>
      <c r="L203" s="13" t="str">
        <f t="shared" si="17"/>
        <v>82062475286857</v>
      </c>
      <c r="M203" t="s">
        <v>293</v>
      </c>
      <c r="N203" t="s">
        <v>294</v>
      </c>
      <c r="O203" t="s">
        <v>295</v>
      </c>
      <c r="P203" t="s">
        <v>304</v>
      </c>
      <c r="Q203" t="s">
        <v>297</v>
      </c>
      <c r="R203" t="s">
        <v>298</v>
      </c>
      <c r="S203" s="5">
        <f t="shared" si="18"/>
        <v>37.275511457303203</v>
      </c>
      <c r="T203" t="s">
        <v>299</v>
      </c>
      <c r="U203" s="5">
        <f t="shared" si="19"/>
        <v>17.2336383317155</v>
      </c>
      <c r="V203" t="s">
        <v>448</v>
      </c>
      <c r="W203" t="s">
        <v>300</v>
      </c>
      <c r="X203" t="s">
        <v>301</v>
      </c>
      <c r="Y203" t="s">
        <v>302</v>
      </c>
    </row>
    <row r="204" spans="1:25" x14ac:dyDescent="0.25">
      <c r="A204" t="s">
        <v>364</v>
      </c>
      <c r="B204">
        <v>26.387854493759001</v>
      </c>
      <c r="C204">
        <v>12.2282333224281</v>
      </c>
      <c r="D204" s="11" t="s">
        <v>204</v>
      </c>
      <c r="F204" s="8" t="str">
        <f t="shared" si="15"/>
        <v>New "Load.m1_trf_5286858a" bus1="82064145286858.1.2.3.4" phases=3 conn=Wye model=2 kv=0.380 kw=26,387854493759 kvar=12,2282333224281 daily="CURVA" status=variable vmaxpu=1.5 vminpu=0.92</v>
      </c>
      <c r="G204" t="s">
        <v>290</v>
      </c>
      <c r="H204" t="s">
        <v>303</v>
      </c>
      <c r="I204" s="5" t="str">
        <f t="shared" si="16"/>
        <v>m1_trf_5286858a</v>
      </c>
      <c r="J204" t="s">
        <v>291</v>
      </c>
      <c r="K204" t="s">
        <v>292</v>
      </c>
      <c r="L204" s="13" t="str">
        <f t="shared" si="17"/>
        <v>82064145286858</v>
      </c>
      <c r="M204" t="s">
        <v>293</v>
      </c>
      <c r="N204" t="s">
        <v>294</v>
      </c>
      <c r="O204" t="s">
        <v>295</v>
      </c>
      <c r="P204" t="s">
        <v>304</v>
      </c>
      <c r="Q204" t="s">
        <v>297</v>
      </c>
      <c r="R204" t="s">
        <v>298</v>
      </c>
      <c r="S204" s="5">
        <f t="shared" si="18"/>
        <v>26.387854493759001</v>
      </c>
      <c r="T204" t="s">
        <v>299</v>
      </c>
      <c r="U204" s="5">
        <f t="shared" si="19"/>
        <v>12.2282333224281</v>
      </c>
      <c r="V204" t="s">
        <v>448</v>
      </c>
      <c r="W204" t="s">
        <v>300</v>
      </c>
      <c r="X204" t="s">
        <v>301</v>
      </c>
      <c r="Y204" t="s">
        <v>302</v>
      </c>
    </row>
    <row r="205" spans="1:25" x14ac:dyDescent="0.25">
      <c r="A205" t="s">
        <v>365</v>
      </c>
      <c r="B205">
        <v>17.720596902816101</v>
      </c>
      <c r="C205">
        <v>8.2259771030910898</v>
      </c>
      <c r="D205" s="11" t="s">
        <v>205</v>
      </c>
      <c r="F205" s="8" t="str">
        <f t="shared" si="15"/>
        <v>New "Load.m1_trf_5286860a" bus1="82065235286860.1.2.3.4" phases=3 conn=Wye model=2 kv=0.380 kw=17,7205969028161 kvar=8,22597710309109 daily="CURVA" status=variable vmaxpu=1.5 vminpu=0.92</v>
      </c>
      <c r="G205" t="s">
        <v>290</v>
      </c>
      <c r="H205" t="s">
        <v>303</v>
      </c>
      <c r="I205" s="5" t="str">
        <f t="shared" si="16"/>
        <v>m1_trf_5286860a</v>
      </c>
      <c r="J205" t="s">
        <v>291</v>
      </c>
      <c r="K205" t="s">
        <v>292</v>
      </c>
      <c r="L205" s="13" t="str">
        <f t="shared" si="17"/>
        <v>82065235286860</v>
      </c>
      <c r="M205" t="s">
        <v>293</v>
      </c>
      <c r="N205" t="s">
        <v>294</v>
      </c>
      <c r="O205" t="s">
        <v>295</v>
      </c>
      <c r="P205" t="s">
        <v>304</v>
      </c>
      <c r="Q205" t="s">
        <v>297</v>
      </c>
      <c r="R205" t="s">
        <v>298</v>
      </c>
      <c r="S205" s="5">
        <f t="shared" si="18"/>
        <v>17.720596902816101</v>
      </c>
      <c r="T205" t="s">
        <v>299</v>
      </c>
      <c r="U205" s="5">
        <f t="shared" si="19"/>
        <v>8.2259771030910898</v>
      </c>
      <c r="V205" t="s">
        <v>448</v>
      </c>
      <c r="W205" t="s">
        <v>300</v>
      </c>
      <c r="X205" t="s">
        <v>301</v>
      </c>
      <c r="Y205" t="s">
        <v>302</v>
      </c>
    </row>
    <row r="206" spans="1:25" x14ac:dyDescent="0.25">
      <c r="A206" t="s">
        <v>366</v>
      </c>
      <c r="B206">
        <v>20.870260230135699</v>
      </c>
      <c r="C206">
        <v>9.6590558720564097</v>
      </c>
      <c r="D206" s="11" t="s">
        <v>206</v>
      </c>
      <c r="F206" s="8" t="str">
        <f t="shared" si="15"/>
        <v>New "Load.m1_trf_5286861a" bus1="82064065286861.1.2.3.4" phases=3 conn=Wye model=2 kv=0.380 kw=20,8702602301357 kvar=9,65905587205641 daily="CURVA" status=variable vmaxpu=1.5 vminpu=0.92</v>
      </c>
      <c r="G206" t="s">
        <v>290</v>
      </c>
      <c r="H206" t="s">
        <v>303</v>
      </c>
      <c r="I206" s="5" t="str">
        <f t="shared" si="16"/>
        <v>m1_trf_5286861a</v>
      </c>
      <c r="J206" t="s">
        <v>291</v>
      </c>
      <c r="K206" t="s">
        <v>292</v>
      </c>
      <c r="L206" s="13" t="str">
        <f t="shared" si="17"/>
        <v>82064065286861</v>
      </c>
      <c r="M206" t="s">
        <v>293</v>
      </c>
      <c r="N206" t="s">
        <v>294</v>
      </c>
      <c r="O206" t="s">
        <v>295</v>
      </c>
      <c r="P206" t="s">
        <v>304</v>
      </c>
      <c r="Q206" t="s">
        <v>297</v>
      </c>
      <c r="R206" t="s">
        <v>298</v>
      </c>
      <c r="S206" s="5">
        <f t="shared" si="18"/>
        <v>20.870260230135699</v>
      </c>
      <c r="T206" t="s">
        <v>299</v>
      </c>
      <c r="U206" s="5">
        <f t="shared" si="19"/>
        <v>9.6590558720564097</v>
      </c>
      <c r="V206" t="s">
        <v>448</v>
      </c>
      <c r="W206" t="s">
        <v>300</v>
      </c>
      <c r="X206" t="s">
        <v>301</v>
      </c>
      <c r="Y206" t="s">
        <v>302</v>
      </c>
    </row>
    <row r="207" spans="1:25" x14ac:dyDescent="0.25">
      <c r="A207" t="s">
        <v>367</v>
      </c>
      <c r="B207">
        <v>29.876640685836499</v>
      </c>
      <c r="C207">
        <v>13.773051188521601</v>
      </c>
      <c r="D207" s="11" t="s">
        <v>207</v>
      </c>
      <c r="F207" s="8" t="str">
        <f t="shared" si="15"/>
        <v>New "Load.m1_trf_5286862a" bus1="82065285286862.1.2.3.4" phases=3 conn=Wye model=2 kv=0.380 kw=29,8766406858365 kvar=13,7730511885216 daily="CURVA" status=variable vmaxpu=1.5 vminpu=0.92</v>
      </c>
      <c r="G207" t="s">
        <v>290</v>
      </c>
      <c r="H207" t="s">
        <v>303</v>
      </c>
      <c r="I207" s="5" t="str">
        <f t="shared" si="16"/>
        <v>m1_trf_5286862a</v>
      </c>
      <c r="J207" t="s">
        <v>291</v>
      </c>
      <c r="K207" t="s">
        <v>292</v>
      </c>
      <c r="L207" s="13" t="str">
        <f t="shared" si="17"/>
        <v>82065285286862</v>
      </c>
      <c r="M207" t="s">
        <v>293</v>
      </c>
      <c r="N207" t="s">
        <v>294</v>
      </c>
      <c r="O207" t="s">
        <v>295</v>
      </c>
      <c r="P207" t="s">
        <v>304</v>
      </c>
      <c r="Q207" t="s">
        <v>297</v>
      </c>
      <c r="R207" t="s">
        <v>298</v>
      </c>
      <c r="S207" s="5">
        <f t="shared" si="18"/>
        <v>29.876640685836499</v>
      </c>
      <c r="T207" t="s">
        <v>299</v>
      </c>
      <c r="U207" s="5">
        <f t="shared" si="19"/>
        <v>13.773051188521601</v>
      </c>
      <c r="V207" t="s">
        <v>448</v>
      </c>
      <c r="W207" t="s">
        <v>300</v>
      </c>
      <c r="X207" t="s">
        <v>301</v>
      </c>
      <c r="Y207" t="s">
        <v>302</v>
      </c>
    </row>
    <row r="208" spans="1:25" x14ac:dyDescent="0.25">
      <c r="A208" t="s">
        <v>368</v>
      </c>
      <c r="B208">
        <v>23.576875408852398</v>
      </c>
      <c r="C208">
        <v>10.946608562816101</v>
      </c>
      <c r="D208" s="11" t="s">
        <v>208</v>
      </c>
      <c r="F208" s="8" t="str">
        <f t="shared" si="15"/>
        <v>New "Load.m1_trf_5286863a" bus1="82064825286863.1.2.3.4" phases=3 conn=Wye model=2 kv=0.380 kw=23,5768754088524 kvar=10,9466085628161 daily="CURVA" status=variable vmaxpu=1.5 vminpu=0.92</v>
      </c>
      <c r="G208" t="s">
        <v>290</v>
      </c>
      <c r="H208" t="s">
        <v>303</v>
      </c>
      <c r="I208" s="5" t="str">
        <f t="shared" si="16"/>
        <v>m1_trf_5286863a</v>
      </c>
      <c r="J208" t="s">
        <v>291</v>
      </c>
      <c r="K208" t="s">
        <v>292</v>
      </c>
      <c r="L208" s="13" t="str">
        <f t="shared" si="17"/>
        <v>82064825286863</v>
      </c>
      <c r="M208" t="s">
        <v>293</v>
      </c>
      <c r="N208" t="s">
        <v>294</v>
      </c>
      <c r="O208" t="s">
        <v>295</v>
      </c>
      <c r="P208" t="s">
        <v>304</v>
      </c>
      <c r="Q208" t="s">
        <v>297</v>
      </c>
      <c r="R208" t="s">
        <v>298</v>
      </c>
      <c r="S208" s="5">
        <f t="shared" si="18"/>
        <v>23.576875408852398</v>
      </c>
      <c r="T208" t="s">
        <v>299</v>
      </c>
      <c r="U208" s="5">
        <f t="shared" si="19"/>
        <v>10.946608562816101</v>
      </c>
      <c r="V208" t="s">
        <v>448</v>
      </c>
      <c r="W208" t="s">
        <v>300</v>
      </c>
      <c r="X208" t="s">
        <v>301</v>
      </c>
      <c r="Y208" t="s">
        <v>302</v>
      </c>
    </row>
    <row r="209" spans="1:25" x14ac:dyDescent="0.25">
      <c r="A209" t="s">
        <v>369</v>
      </c>
      <c r="B209">
        <v>23.947034753762601</v>
      </c>
      <c r="C209">
        <v>11.1073681934778</v>
      </c>
      <c r="D209" s="11" t="s">
        <v>209</v>
      </c>
      <c r="F209" s="8" t="str">
        <f t="shared" ref="F209:F272" si="20">_xlfn.CONCAT(G209:Y209)</f>
        <v>New "Load.m1_trf_5286864a" bus1="82064425286864.1.2.3.4" phases=3 conn=Wye model=2 kv=0.380 kw=23,9470347537626 kvar=11,1073681934778 daily="CURVA" status=variable vmaxpu=1.5 vminpu=0.92</v>
      </c>
      <c r="G209" t="s">
        <v>290</v>
      </c>
      <c r="H209" t="s">
        <v>303</v>
      </c>
      <c r="I209" s="5" t="str">
        <f t="shared" si="16"/>
        <v>m1_trf_5286864a</v>
      </c>
      <c r="J209" t="s">
        <v>291</v>
      </c>
      <c r="K209" t="s">
        <v>292</v>
      </c>
      <c r="L209" s="13" t="str">
        <f t="shared" si="17"/>
        <v>82064425286864</v>
      </c>
      <c r="M209" t="s">
        <v>293</v>
      </c>
      <c r="N209" t="s">
        <v>294</v>
      </c>
      <c r="O209" t="s">
        <v>295</v>
      </c>
      <c r="P209" t="s">
        <v>304</v>
      </c>
      <c r="Q209" t="s">
        <v>297</v>
      </c>
      <c r="R209" t="s">
        <v>298</v>
      </c>
      <c r="S209" s="5">
        <f t="shared" si="18"/>
        <v>23.947034753762601</v>
      </c>
      <c r="T209" t="s">
        <v>299</v>
      </c>
      <c r="U209" s="5">
        <f t="shared" si="19"/>
        <v>11.1073681934778</v>
      </c>
      <c r="V209" t="s">
        <v>448</v>
      </c>
      <c r="W209" t="s">
        <v>300</v>
      </c>
      <c r="X209" t="s">
        <v>301</v>
      </c>
      <c r="Y209" t="s">
        <v>302</v>
      </c>
    </row>
    <row r="210" spans="1:25" x14ac:dyDescent="0.25">
      <c r="A210" t="s">
        <v>370</v>
      </c>
      <c r="B210">
        <v>23.483620377849199</v>
      </c>
      <c r="C210">
        <v>10.8617893412813</v>
      </c>
      <c r="D210" s="11" t="s">
        <v>210</v>
      </c>
      <c r="F210" s="8" t="str">
        <f t="shared" si="20"/>
        <v>New "Load.m1_trf_5286865a" bus1="82065005286865.1.2.3.4" phases=3 conn=Wye model=2 kv=0.380 kw=23,4836203778492 kvar=10,8617893412813 daily="CURVA" status=variable vmaxpu=1.5 vminpu=0.92</v>
      </c>
      <c r="G210" t="s">
        <v>290</v>
      </c>
      <c r="H210" t="s">
        <v>303</v>
      </c>
      <c r="I210" s="5" t="str">
        <f t="shared" ref="I210:I273" si="21">A210</f>
        <v>m1_trf_5286865a</v>
      </c>
      <c r="J210" t="s">
        <v>291</v>
      </c>
      <c r="K210" t="s">
        <v>292</v>
      </c>
      <c r="L210" s="13" t="str">
        <f t="shared" ref="L210:L273" si="22">D210</f>
        <v>82065005286865</v>
      </c>
      <c r="M210" t="s">
        <v>293</v>
      </c>
      <c r="N210" t="s">
        <v>294</v>
      </c>
      <c r="O210" t="s">
        <v>295</v>
      </c>
      <c r="P210" t="s">
        <v>304</v>
      </c>
      <c r="Q210" t="s">
        <v>297</v>
      </c>
      <c r="R210" t="s">
        <v>298</v>
      </c>
      <c r="S210" s="5">
        <f t="shared" ref="S210:S273" si="23">B210</f>
        <v>23.483620377849199</v>
      </c>
      <c r="T210" t="s">
        <v>299</v>
      </c>
      <c r="U210" s="5">
        <f t="shared" ref="U210:U273" si="24">C210</f>
        <v>10.8617893412813</v>
      </c>
      <c r="V210" t="s">
        <v>448</v>
      </c>
      <c r="W210" t="s">
        <v>300</v>
      </c>
      <c r="X210" t="s">
        <v>301</v>
      </c>
      <c r="Y210" t="s">
        <v>302</v>
      </c>
    </row>
    <row r="211" spans="1:25" x14ac:dyDescent="0.25">
      <c r="A211" t="s">
        <v>371</v>
      </c>
      <c r="B211">
        <v>30.094186432098599</v>
      </c>
      <c r="C211">
        <v>13.918301075281301</v>
      </c>
      <c r="D211" s="11" t="s">
        <v>211</v>
      </c>
      <c r="F211" s="8" t="str">
        <f t="shared" si="20"/>
        <v>New "Load.m1_trf_5286866a" bus1="82063385286866.1.2.3.4" phases=3 conn=Wye model=2 kv=0.380 kw=30,0941864320986 kvar=13,9183010752813 daily="CURVA" status=variable vmaxpu=1.5 vminpu=0.92</v>
      </c>
      <c r="G211" t="s">
        <v>290</v>
      </c>
      <c r="H211" t="s">
        <v>303</v>
      </c>
      <c r="I211" s="5" t="str">
        <f t="shared" si="21"/>
        <v>m1_trf_5286866a</v>
      </c>
      <c r="J211" t="s">
        <v>291</v>
      </c>
      <c r="K211" t="s">
        <v>292</v>
      </c>
      <c r="L211" s="13" t="str">
        <f t="shared" si="22"/>
        <v>82063385286866</v>
      </c>
      <c r="M211" t="s">
        <v>293</v>
      </c>
      <c r="N211" t="s">
        <v>294</v>
      </c>
      <c r="O211" t="s">
        <v>295</v>
      </c>
      <c r="P211" t="s">
        <v>304</v>
      </c>
      <c r="Q211" t="s">
        <v>297</v>
      </c>
      <c r="R211" t="s">
        <v>298</v>
      </c>
      <c r="S211" s="5">
        <f t="shared" si="23"/>
        <v>30.094186432098599</v>
      </c>
      <c r="T211" t="s">
        <v>299</v>
      </c>
      <c r="U211" s="5">
        <f t="shared" si="24"/>
        <v>13.918301075281301</v>
      </c>
      <c r="V211" t="s">
        <v>448</v>
      </c>
      <c r="W211" t="s">
        <v>300</v>
      </c>
      <c r="X211" t="s">
        <v>301</v>
      </c>
      <c r="Y211" t="s">
        <v>302</v>
      </c>
    </row>
    <row r="212" spans="1:25" x14ac:dyDescent="0.25">
      <c r="A212" t="s">
        <v>372</v>
      </c>
      <c r="B212">
        <v>28.374845569145702</v>
      </c>
      <c r="C212">
        <v>13.021605265208001</v>
      </c>
      <c r="D212" s="11" t="s">
        <v>212</v>
      </c>
      <c r="F212" s="8" t="str">
        <f t="shared" si="20"/>
        <v>New "Load.m1_trf_5286867a" bus1="82044385286867.1.2.3.4" phases=3 conn=Wye model=2 kv=0.380 kw=28,3748455691457 kvar=13,021605265208 daily="CURVA" status=variable vmaxpu=1.5 vminpu=0.92</v>
      </c>
      <c r="G212" t="s">
        <v>290</v>
      </c>
      <c r="H212" t="s">
        <v>303</v>
      </c>
      <c r="I212" s="5" t="str">
        <f t="shared" si="21"/>
        <v>m1_trf_5286867a</v>
      </c>
      <c r="J212" t="s">
        <v>291</v>
      </c>
      <c r="K212" t="s">
        <v>292</v>
      </c>
      <c r="L212" s="13" t="str">
        <f t="shared" si="22"/>
        <v>82044385286867</v>
      </c>
      <c r="M212" t="s">
        <v>293</v>
      </c>
      <c r="N212" t="s">
        <v>294</v>
      </c>
      <c r="O212" t="s">
        <v>295</v>
      </c>
      <c r="P212" t="s">
        <v>304</v>
      </c>
      <c r="Q212" t="s">
        <v>297</v>
      </c>
      <c r="R212" t="s">
        <v>298</v>
      </c>
      <c r="S212" s="5">
        <f t="shared" si="23"/>
        <v>28.374845569145702</v>
      </c>
      <c r="T212" t="s">
        <v>299</v>
      </c>
      <c r="U212" s="5">
        <f t="shared" si="24"/>
        <v>13.021605265208001</v>
      </c>
      <c r="V212" t="s">
        <v>448</v>
      </c>
      <c r="W212" t="s">
        <v>300</v>
      </c>
      <c r="X212" t="s">
        <v>301</v>
      </c>
      <c r="Y212" t="s">
        <v>302</v>
      </c>
    </row>
    <row r="213" spans="1:25" x14ac:dyDescent="0.25">
      <c r="A213" t="s">
        <v>373</v>
      </c>
      <c r="B213">
        <v>20.216396807258199</v>
      </c>
      <c r="C213">
        <v>9.3271187083251093</v>
      </c>
      <c r="D213" s="11" t="s">
        <v>213</v>
      </c>
      <c r="F213" s="8" t="str">
        <f t="shared" si="20"/>
        <v>New "Load.m1_trf_5286871a" bus1="82055725286871.1.2.3.4" phases=3 conn=Wye model=2 kv=0.380 kw=20,2163968072582 kvar=9,32711870832511 daily="CURVA" status=variable vmaxpu=1.5 vminpu=0.92</v>
      </c>
      <c r="G213" t="s">
        <v>290</v>
      </c>
      <c r="H213" t="s">
        <v>303</v>
      </c>
      <c r="I213" s="5" t="str">
        <f t="shared" si="21"/>
        <v>m1_trf_5286871a</v>
      </c>
      <c r="J213" t="s">
        <v>291</v>
      </c>
      <c r="K213" t="s">
        <v>292</v>
      </c>
      <c r="L213" s="13" t="str">
        <f t="shared" si="22"/>
        <v>82055725286871</v>
      </c>
      <c r="M213" t="s">
        <v>293</v>
      </c>
      <c r="N213" t="s">
        <v>294</v>
      </c>
      <c r="O213" t="s">
        <v>295</v>
      </c>
      <c r="P213" t="s">
        <v>304</v>
      </c>
      <c r="Q213" t="s">
        <v>297</v>
      </c>
      <c r="R213" t="s">
        <v>298</v>
      </c>
      <c r="S213" s="5">
        <f t="shared" si="23"/>
        <v>20.216396807258199</v>
      </c>
      <c r="T213" t="s">
        <v>299</v>
      </c>
      <c r="U213" s="5">
        <f t="shared" si="24"/>
        <v>9.3271187083251093</v>
      </c>
      <c r="V213" t="s">
        <v>448</v>
      </c>
      <c r="W213" t="s">
        <v>300</v>
      </c>
      <c r="X213" t="s">
        <v>301</v>
      </c>
      <c r="Y213" t="s">
        <v>302</v>
      </c>
    </row>
    <row r="214" spans="1:25" x14ac:dyDescent="0.25">
      <c r="A214" t="s">
        <v>374</v>
      </c>
      <c r="B214">
        <v>19.094797916054802</v>
      </c>
      <c r="C214">
        <v>8.6822961996878707</v>
      </c>
      <c r="D214" s="11" t="s">
        <v>214</v>
      </c>
      <c r="F214" s="8" t="str">
        <f t="shared" si="20"/>
        <v>New "Load.m1_trf_5286872a" bus1="82054825286872.1.2.3.4" phases=3 conn=Wye model=2 kv=0.380 kw=19,0947979160548 kvar=8,68229619968787 daily="CURVA" status=variable vmaxpu=1.5 vminpu=0.92</v>
      </c>
      <c r="G214" t="s">
        <v>290</v>
      </c>
      <c r="H214" t="s">
        <v>303</v>
      </c>
      <c r="I214" s="5" t="str">
        <f t="shared" si="21"/>
        <v>m1_trf_5286872a</v>
      </c>
      <c r="J214" t="s">
        <v>291</v>
      </c>
      <c r="K214" t="s">
        <v>292</v>
      </c>
      <c r="L214" s="13" t="str">
        <f t="shared" si="22"/>
        <v>82054825286872</v>
      </c>
      <c r="M214" t="s">
        <v>293</v>
      </c>
      <c r="N214" t="s">
        <v>294</v>
      </c>
      <c r="O214" t="s">
        <v>295</v>
      </c>
      <c r="P214" t="s">
        <v>304</v>
      </c>
      <c r="Q214" t="s">
        <v>297</v>
      </c>
      <c r="R214" t="s">
        <v>298</v>
      </c>
      <c r="S214" s="5">
        <f t="shared" si="23"/>
        <v>19.094797916054802</v>
      </c>
      <c r="T214" t="s">
        <v>299</v>
      </c>
      <c r="U214" s="5">
        <f t="shared" si="24"/>
        <v>8.6822961996878707</v>
      </c>
      <c r="V214" t="s">
        <v>448</v>
      </c>
      <c r="W214" t="s">
        <v>300</v>
      </c>
      <c r="X214" t="s">
        <v>301</v>
      </c>
      <c r="Y214" t="s">
        <v>302</v>
      </c>
    </row>
    <row r="215" spans="1:25" x14ac:dyDescent="0.25">
      <c r="A215" t="s">
        <v>375</v>
      </c>
      <c r="B215">
        <v>26.661214817333398</v>
      </c>
      <c r="C215">
        <v>12.365539425368</v>
      </c>
      <c r="D215" s="11" t="s">
        <v>215</v>
      </c>
      <c r="F215" s="8" t="str">
        <f t="shared" si="20"/>
        <v>New "Load.m1_trf_5286890a" bus1="82056915286890.1.2.3.4" phases=3 conn=Wye model=2 kv=0.380 kw=26,6612148173334 kvar=12,365539425368 daily="CURVA" status=variable vmaxpu=1.5 vminpu=0.92</v>
      </c>
      <c r="G215" t="s">
        <v>290</v>
      </c>
      <c r="H215" t="s">
        <v>303</v>
      </c>
      <c r="I215" s="5" t="str">
        <f t="shared" si="21"/>
        <v>m1_trf_5286890a</v>
      </c>
      <c r="J215" t="s">
        <v>291</v>
      </c>
      <c r="K215" t="s">
        <v>292</v>
      </c>
      <c r="L215" s="13" t="str">
        <f t="shared" si="22"/>
        <v>82056915286890</v>
      </c>
      <c r="M215" t="s">
        <v>293</v>
      </c>
      <c r="N215" t="s">
        <v>294</v>
      </c>
      <c r="O215" t="s">
        <v>295</v>
      </c>
      <c r="P215" t="s">
        <v>304</v>
      </c>
      <c r="Q215" t="s">
        <v>297</v>
      </c>
      <c r="R215" t="s">
        <v>298</v>
      </c>
      <c r="S215" s="5">
        <f t="shared" si="23"/>
        <v>26.661214817333398</v>
      </c>
      <c r="T215" t="s">
        <v>299</v>
      </c>
      <c r="U215" s="5">
        <f t="shared" si="24"/>
        <v>12.365539425368</v>
      </c>
      <c r="V215" t="s">
        <v>448</v>
      </c>
      <c r="W215" t="s">
        <v>300</v>
      </c>
      <c r="X215" t="s">
        <v>301</v>
      </c>
      <c r="Y215" t="s">
        <v>302</v>
      </c>
    </row>
    <row r="216" spans="1:25" x14ac:dyDescent="0.25">
      <c r="A216" t="s">
        <v>376</v>
      </c>
      <c r="B216">
        <v>26.481828218789399</v>
      </c>
      <c r="C216">
        <v>12.3154332729611</v>
      </c>
      <c r="D216" s="11" t="s">
        <v>216</v>
      </c>
      <c r="F216" s="8" t="str">
        <f t="shared" si="20"/>
        <v>New "Load.m1_trf_5286891a" bus1="82056385286891.1.2.3.4" phases=3 conn=Wye model=2 kv=0.380 kw=26,4818282187894 kvar=12,3154332729611 daily="CURVA" status=variable vmaxpu=1.5 vminpu=0.92</v>
      </c>
      <c r="G216" t="s">
        <v>290</v>
      </c>
      <c r="H216" t="s">
        <v>303</v>
      </c>
      <c r="I216" s="5" t="str">
        <f t="shared" si="21"/>
        <v>m1_trf_5286891a</v>
      </c>
      <c r="J216" t="s">
        <v>291</v>
      </c>
      <c r="K216" t="s">
        <v>292</v>
      </c>
      <c r="L216" s="13" t="str">
        <f t="shared" si="22"/>
        <v>82056385286891</v>
      </c>
      <c r="M216" t="s">
        <v>293</v>
      </c>
      <c r="N216" t="s">
        <v>294</v>
      </c>
      <c r="O216" t="s">
        <v>295</v>
      </c>
      <c r="P216" t="s">
        <v>304</v>
      </c>
      <c r="Q216" t="s">
        <v>297</v>
      </c>
      <c r="R216" t="s">
        <v>298</v>
      </c>
      <c r="S216" s="5">
        <f t="shared" si="23"/>
        <v>26.481828218789399</v>
      </c>
      <c r="T216" t="s">
        <v>299</v>
      </c>
      <c r="U216" s="5">
        <f t="shared" si="24"/>
        <v>12.3154332729611</v>
      </c>
      <c r="V216" t="s">
        <v>448</v>
      </c>
      <c r="W216" t="s">
        <v>300</v>
      </c>
      <c r="X216" t="s">
        <v>301</v>
      </c>
      <c r="Y216" t="s">
        <v>302</v>
      </c>
    </row>
    <row r="217" spans="1:25" x14ac:dyDescent="0.25">
      <c r="A217" t="s">
        <v>377</v>
      </c>
      <c r="B217">
        <v>29.505605655156</v>
      </c>
      <c r="C217">
        <v>13.6407017943999</v>
      </c>
      <c r="D217" s="11" t="s">
        <v>217</v>
      </c>
      <c r="F217" s="8" t="str">
        <f t="shared" si="20"/>
        <v>New "Load.m1_trf_5286914a" bus1="82053635286914.1.2.3.4" phases=3 conn=Wye model=2 kv=0.380 kw=29,505605655156 kvar=13,6407017943999 daily="CURVA" status=variable vmaxpu=1.5 vminpu=0.92</v>
      </c>
      <c r="G217" t="s">
        <v>290</v>
      </c>
      <c r="H217" t="s">
        <v>303</v>
      </c>
      <c r="I217" s="5" t="str">
        <f t="shared" si="21"/>
        <v>m1_trf_5286914a</v>
      </c>
      <c r="J217" t="s">
        <v>291</v>
      </c>
      <c r="K217" t="s">
        <v>292</v>
      </c>
      <c r="L217" s="13" t="str">
        <f t="shared" si="22"/>
        <v>82053635286914</v>
      </c>
      <c r="M217" t="s">
        <v>293</v>
      </c>
      <c r="N217" t="s">
        <v>294</v>
      </c>
      <c r="O217" t="s">
        <v>295</v>
      </c>
      <c r="P217" t="s">
        <v>304</v>
      </c>
      <c r="Q217" t="s">
        <v>297</v>
      </c>
      <c r="R217" t="s">
        <v>298</v>
      </c>
      <c r="S217" s="5">
        <f t="shared" si="23"/>
        <v>29.505605655156</v>
      </c>
      <c r="T217" t="s">
        <v>299</v>
      </c>
      <c r="U217" s="5">
        <f t="shared" si="24"/>
        <v>13.6407017943999</v>
      </c>
      <c r="V217" t="s">
        <v>448</v>
      </c>
      <c r="W217" t="s">
        <v>300</v>
      </c>
      <c r="X217" t="s">
        <v>301</v>
      </c>
      <c r="Y217" t="s">
        <v>302</v>
      </c>
    </row>
    <row r="218" spans="1:25" x14ac:dyDescent="0.25">
      <c r="A218" t="s">
        <v>378</v>
      </c>
      <c r="B218">
        <v>24.536243608053699</v>
      </c>
      <c r="C218">
        <v>11.2801916696158</v>
      </c>
      <c r="D218" s="11" t="s">
        <v>218</v>
      </c>
      <c r="F218" s="8" t="str">
        <f t="shared" si="20"/>
        <v>New "Load.m1_trf_5286915a" bus1="82054535286915.1.2.3.4" phases=3 conn=Wye model=2 kv=0.380 kw=24,5362436080537 kvar=11,2801916696158 daily="CURVA" status=variable vmaxpu=1.5 vminpu=0.92</v>
      </c>
      <c r="G218" t="s">
        <v>290</v>
      </c>
      <c r="H218" t="s">
        <v>303</v>
      </c>
      <c r="I218" s="5" t="str">
        <f t="shared" si="21"/>
        <v>m1_trf_5286915a</v>
      </c>
      <c r="J218" t="s">
        <v>291</v>
      </c>
      <c r="K218" t="s">
        <v>292</v>
      </c>
      <c r="L218" s="13" t="str">
        <f t="shared" si="22"/>
        <v>82054535286915</v>
      </c>
      <c r="M218" t="s">
        <v>293</v>
      </c>
      <c r="N218" t="s">
        <v>294</v>
      </c>
      <c r="O218" t="s">
        <v>295</v>
      </c>
      <c r="P218" t="s">
        <v>304</v>
      </c>
      <c r="Q218" t="s">
        <v>297</v>
      </c>
      <c r="R218" t="s">
        <v>298</v>
      </c>
      <c r="S218" s="5">
        <f t="shared" si="23"/>
        <v>24.536243608053699</v>
      </c>
      <c r="T218" t="s">
        <v>299</v>
      </c>
      <c r="U218" s="5">
        <f t="shared" si="24"/>
        <v>11.2801916696158</v>
      </c>
      <c r="V218" t="s">
        <v>448</v>
      </c>
      <c r="W218" t="s">
        <v>300</v>
      </c>
      <c r="X218" t="s">
        <v>301</v>
      </c>
      <c r="Y218" t="s">
        <v>302</v>
      </c>
    </row>
    <row r="219" spans="1:25" x14ac:dyDescent="0.25">
      <c r="A219" t="s">
        <v>379</v>
      </c>
      <c r="B219">
        <v>31.772184037099802</v>
      </c>
      <c r="C219">
        <v>14.613291481581999</v>
      </c>
      <c r="D219" s="11" t="s">
        <v>219</v>
      </c>
      <c r="F219" s="8" t="str">
        <f t="shared" si="20"/>
        <v>New "Load.m1_trf_5286916a" bus1="82054235286916.1.2.3.4" phases=3 conn=Wye model=2 kv=0.380 kw=31,7721840370998 kvar=14,613291481582 daily="CURVA" status=variable vmaxpu=1.5 vminpu=0.92</v>
      </c>
      <c r="G219" t="s">
        <v>290</v>
      </c>
      <c r="H219" t="s">
        <v>303</v>
      </c>
      <c r="I219" s="5" t="str">
        <f t="shared" si="21"/>
        <v>m1_trf_5286916a</v>
      </c>
      <c r="J219" t="s">
        <v>291</v>
      </c>
      <c r="K219" t="s">
        <v>292</v>
      </c>
      <c r="L219" s="13" t="str">
        <f t="shared" si="22"/>
        <v>82054235286916</v>
      </c>
      <c r="M219" t="s">
        <v>293</v>
      </c>
      <c r="N219" t="s">
        <v>294</v>
      </c>
      <c r="O219" t="s">
        <v>295</v>
      </c>
      <c r="P219" t="s">
        <v>304</v>
      </c>
      <c r="Q219" t="s">
        <v>297</v>
      </c>
      <c r="R219" t="s">
        <v>298</v>
      </c>
      <c r="S219" s="5">
        <f t="shared" si="23"/>
        <v>31.772184037099802</v>
      </c>
      <c r="T219" t="s">
        <v>299</v>
      </c>
      <c r="U219" s="5">
        <f t="shared" si="24"/>
        <v>14.613291481581999</v>
      </c>
      <c r="V219" t="s">
        <v>448</v>
      </c>
      <c r="W219" t="s">
        <v>300</v>
      </c>
      <c r="X219" t="s">
        <v>301</v>
      </c>
      <c r="Y219" t="s">
        <v>302</v>
      </c>
    </row>
    <row r="220" spans="1:25" x14ac:dyDescent="0.25">
      <c r="A220" t="s">
        <v>380</v>
      </c>
      <c r="B220">
        <v>47.267476900680698</v>
      </c>
      <c r="C220">
        <v>21.866009954224399</v>
      </c>
      <c r="D220" s="11" t="s">
        <v>220</v>
      </c>
      <c r="F220" s="8" t="str">
        <f t="shared" si="20"/>
        <v>New "Load.m1_trf_5286917a" bus1="82054305286917.1.2.3.4" phases=3 conn=Wye model=2 kv=0.380 kw=47,2674769006807 kvar=21,8660099542244 daily="CURVA" status=variable vmaxpu=1.5 vminpu=0.92</v>
      </c>
      <c r="G220" t="s">
        <v>290</v>
      </c>
      <c r="H220" t="s">
        <v>303</v>
      </c>
      <c r="I220" s="5" t="str">
        <f t="shared" si="21"/>
        <v>m1_trf_5286917a</v>
      </c>
      <c r="J220" t="s">
        <v>291</v>
      </c>
      <c r="K220" t="s">
        <v>292</v>
      </c>
      <c r="L220" s="13" t="str">
        <f t="shared" si="22"/>
        <v>82054305286917</v>
      </c>
      <c r="M220" t="s">
        <v>293</v>
      </c>
      <c r="N220" t="s">
        <v>294</v>
      </c>
      <c r="O220" t="s">
        <v>295</v>
      </c>
      <c r="P220" t="s">
        <v>304</v>
      </c>
      <c r="Q220" t="s">
        <v>297</v>
      </c>
      <c r="R220" t="s">
        <v>298</v>
      </c>
      <c r="S220" s="5">
        <f t="shared" si="23"/>
        <v>47.267476900680698</v>
      </c>
      <c r="T220" t="s">
        <v>299</v>
      </c>
      <c r="U220" s="5">
        <f t="shared" si="24"/>
        <v>21.866009954224399</v>
      </c>
      <c r="V220" t="s">
        <v>448</v>
      </c>
      <c r="W220" t="s">
        <v>300</v>
      </c>
      <c r="X220" t="s">
        <v>301</v>
      </c>
      <c r="Y220" t="s">
        <v>302</v>
      </c>
    </row>
    <row r="221" spans="1:25" x14ac:dyDescent="0.25">
      <c r="A221" t="s">
        <v>381</v>
      </c>
      <c r="B221">
        <v>40.433561318152201</v>
      </c>
      <c r="C221">
        <v>18.736685726762001</v>
      </c>
      <c r="D221" s="11" t="s">
        <v>221</v>
      </c>
      <c r="F221" s="8" t="str">
        <f t="shared" si="20"/>
        <v>New "Load.m1_trf_5286918a" bus1="82053975286918.1.2.3.4" phases=3 conn=Wye model=2 kv=0.380 kw=40,4335613181522 kvar=18,736685726762 daily="CURVA" status=variable vmaxpu=1.5 vminpu=0.92</v>
      </c>
      <c r="G221" t="s">
        <v>290</v>
      </c>
      <c r="H221" t="s">
        <v>303</v>
      </c>
      <c r="I221" s="5" t="str">
        <f t="shared" si="21"/>
        <v>m1_trf_5286918a</v>
      </c>
      <c r="J221" t="s">
        <v>291</v>
      </c>
      <c r="K221" t="s">
        <v>292</v>
      </c>
      <c r="L221" s="13" t="str">
        <f t="shared" si="22"/>
        <v>82053975286918</v>
      </c>
      <c r="M221" t="s">
        <v>293</v>
      </c>
      <c r="N221" t="s">
        <v>294</v>
      </c>
      <c r="O221" t="s">
        <v>295</v>
      </c>
      <c r="P221" t="s">
        <v>304</v>
      </c>
      <c r="Q221" t="s">
        <v>297</v>
      </c>
      <c r="R221" t="s">
        <v>298</v>
      </c>
      <c r="S221" s="5">
        <f t="shared" si="23"/>
        <v>40.433561318152201</v>
      </c>
      <c r="T221" t="s">
        <v>299</v>
      </c>
      <c r="U221" s="5">
        <f t="shared" si="24"/>
        <v>18.736685726762001</v>
      </c>
      <c r="V221" t="s">
        <v>448</v>
      </c>
      <c r="W221" t="s">
        <v>300</v>
      </c>
      <c r="X221" t="s">
        <v>301</v>
      </c>
      <c r="Y221" t="s">
        <v>302</v>
      </c>
    </row>
    <row r="222" spans="1:25" x14ac:dyDescent="0.25">
      <c r="A222" t="s">
        <v>382</v>
      </c>
      <c r="B222">
        <v>21.659498091589001</v>
      </c>
      <c r="C222">
        <v>10.0335137048975</v>
      </c>
      <c r="D222" s="11" t="s">
        <v>222</v>
      </c>
      <c r="F222" s="8" t="str">
        <f t="shared" si="20"/>
        <v>New "Load.m1_trf_5286919a" bus1="82060535286919.1.2.3.4" phases=3 conn=Wye model=2 kv=0.380 kw=21,659498091589 kvar=10,0335137048975 daily="CURVA" status=variable vmaxpu=1.5 vminpu=0.92</v>
      </c>
      <c r="G222" t="s">
        <v>290</v>
      </c>
      <c r="H222" t="s">
        <v>303</v>
      </c>
      <c r="I222" s="5" t="str">
        <f t="shared" si="21"/>
        <v>m1_trf_5286919a</v>
      </c>
      <c r="J222" t="s">
        <v>291</v>
      </c>
      <c r="K222" t="s">
        <v>292</v>
      </c>
      <c r="L222" s="13" t="str">
        <f t="shared" si="22"/>
        <v>82060535286919</v>
      </c>
      <c r="M222" t="s">
        <v>293</v>
      </c>
      <c r="N222" t="s">
        <v>294</v>
      </c>
      <c r="O222" t="s">
        <v>295</v>
      </c>
      <c r="P222" t="s">
        <v>304</v>
      </c>
      <c r="Q222" t="s">
        <v>297</v>
      </c>
      <c r="R222" t="s">
        <v>298</v>
      </c>
      <c r="S222" s="5">
        <f t="shared" si="23"/>
        <v>21.659498091589001</v>
      </c>
      <c r="T222" t="s">
        <v>299</v>
      </c>
      <c r="U222" s="5">
        <f t="shared" si="24"/>
        <v>10.0335137048975</v>
      </c>
      <c r="V222" t="s">
        <v>448</v>
      </c>
      <c r="W222" t="s">
        <v>300</v>
      </c>
      <c r="X222" t="s">
        <v>301</v>
      </c>
      <c r="Y222" t="s">
        <v>302</v>
      </c>
    </row>
    <row r="223" spans="1:25" x14ac:dyDescent="0.25">
      <c r="A223" t="s">
        <v>383</v>
      </c>
      <c r="B223">
        <v>24.135171073304999</v>
      </c>
      <c r="C223">
        <v>11.1526377416107</v>
      </c>
      <c r="D223" s="11" t="s">
        <v>223</v>
      </c>
      <c r="F223" s="8" t="str">
        <f t="shared" si="20"/>
        <v>New "Load.m1_trf_5286930a" bus1="82049375286930.1.2.3.4" phases=3 conn=Wye model=2 kv=0.380 kw=24,135171073305 kvar=11,1526377416107 daily="CURVA" status=variable vmaxpu=1.5 vminpu=0.92</v>
      </c>
      <c r="G223" t="s">
        <v>290</v>
      </c>
      <c r="H223" t="s">
        <v>303</v>
      </c>
      <c r="I223" s="5" t="str">
        <f t="shared" si="21"/>
        <v>m1_trf_5286930a</v>
      </c>
      <c r="J223" t="s">
        <v>291</v>
      </c>
      <c r="K223" t="s">
        <v>292</v>
      </c>
      <c r="L223" s="13" t="str">
        <f t="shared" si="22"/>
        <v>82049375286930</v>
      </c>
      <c r="M223" t="s">
        <v>293</v>
      </c>
      <c r="N223" t="s">
        <v>294</v>
      </c>
      <c r="O223" t="s">
        <v>295</v>
      </c>
      <c r="P223" t="s">
        <v>304</v>
      </c>
      <c r="Q223" t="s">
        <v>297</v>
      </c>
      <c r="R223" t="s">
        <v>298</v>
      </c>
      <c r="S223" s="5">
        <f t="shared" si="23"/>
        <v>24.135171073304999</v>
      </c>
      <c r="T223" t="s">
        <v>299</v>
      </c>
      <c r="U223" s="5">
        <f t="shared" si="24"/>
        <v>11.1526377416107</v>
      </c>
      <c r="V223" t="s">
        <v>448</v>
      </c>
      <c r="W223" t="s">
        <v>300</v>
      </c>
      <c r="X223" t="s">
        <v>301</v>
      </c>
      <c r="Y223" t="s">
        <v>302</v>
      </c>
    </row>
    <row r="224" spans="1:25" x14ac:dyDescent="0.25">
      <c r="A224" t="s">
        <v>384</v>
      </c>
      <c r="B224">
        <v>47.714376019962202</v>
      </c>
      <c r="C224">
        <v>21.839091454142899</v>
      </c>
      <c r="D224" s="11" t="s">
        <v>224</v>
      </c>
      <c r="F224" s="8" t="str">
        <f t="shared" si="20"/>
        <v>New "Load.m1_trf_5286931a" bus1="82049545286931.1.2.3.4" phases=3 conn=Wye model=2 kv=0.380 kw=47,7143760199622 kvar=21,8390914541429 daily="CURVA" status=variable vmaxpu=1.5 vminpu=0.92</v>
      </c>
      <c r="G224" t="s">
        <v>290</v>
      </c>
      <c r="H224" t="s">
        <v>303</v>
      </c>
      <c r="I224" s="5" t="str">
        <f t="shared" si="21"/>
        <v>m1_trf_5286931a</v>
      </c>
      <c r="J224" t="s">
        <v>291</v>
      </c>
      <c r="K224" t="s">
        <v>292</v>
      </c>
      <c r="L224" s="13" t="str">
        <f t="shared" si="22"/>
        <v>82049545286931</v>
      </c>
      <c r="M224" t="s">
        <v>293</v>
      </c>
      <c r="N224" t="s">
        <v>294</v>
      </c>
      <c r="O224" t="s">
        <v>295</v>
      </c>
      <c r="P224" t="s">
        <v>304</v>
      </c>
      <c r="Q224" t="s">
        <v>297</v>
      </c>
      <c r="R224" t="s">
        <v>298</v>
      </c>
      <c r="S224" s="5">
        <f t="shared" si="23"/>
        <v>47.714376019962202</v>
      </c>
      <c r="T224" t="s">
        <v>299</v>
      </c>
      <c r="U224" s="5">
        <f t="shared" si="24"/>
        <v>21.839091454142899</v>
      </c>
      <c r="V224" t="s">
        <v>448</v>
      </c>
      <c r="W224" t="s">
        <v>300</v>
      </c>
      <c r="X224" t="s">
        <v>301</v>
      </c>
      <c r="Y224" t="s">
        <v>302</v>
      </c>
    </row>
    <row r="225" spans="1:25" x14ac:dyDescent="0.25">
      <c r="A225" t="s">
        <v>385</v>
      </c>
      <c r="B225">
        <v>14.1914676815716</v>
      </c>
      <c r="C225">
        <v>6.6227663507549899</v>
      </c>
      <c r="D225" s="11" t="s">
        <v>225</v>
      </c>
      <c r="F225" s="8" t="str">
        <f t="shared" si="20"/>
        <v>New "Load.m1_trf_5286932a" bus1="82049765286932.1.2.3.4" phases=3 conn=Wye model=2 kv=0.380 kw=14,1914676815716 kvar=6,62276635075499 daily="CURVA" status=variable vmaxpu=1.5 vminpu=0.92</v>
      </c>
      <c r="G225" t="s">
        <v>290</v>
      </c>
      <c r="H225" t="s">
        <v>303</v>
      </c>
      <c r="I225" s="5" t="str">
        <f t="shared" si="21"/>
        <v>m1_trf_5286932a</v>
      </c>
      <c r="J225" t="s">
        <v>291</v>
      </c>
      <c r="K225" t="s">
        <v>292</v>
      </c>
      <c r="L225" s="13" t="str">
        <f t="shared" si="22"/>
        <v>82049765286932</v>
      </c>
      <c r="M225" t="s">
        <v>293</v>
      </c>
      <c r="N225" t="s">
        <v>294</v>
      </c>
      <c r="O225" t="s">
        <v>295</v>
      </c>
      <c r="P225" t="s">
        <v>304</v>
      </c>
      <c r="Q225" t="s">
        <v>297</v>
      </c>
      <c r="R225" t="s">
        <v>298</v>
      </c>
      <c r="S225" s="5">
        <f t="shared" si="23"/>
        <v>14.1914676815716</v>
      </c>
      <c r="T225" t="s">
        <v>299</v>
      </c>
      <c r="U225" s="5">
        <f t="shared" si="24"/>
        <v>6.6227663507549899</v>
      </c>
      <c r="V225" t="s">
        <v>448</v>
      </c>
      <c r="W225" t="s">
        <v>300</v>
      </c>
      <c r="X225" t="s">
        <v>301</v>
      </c>
      <c r="Y225" t="s">
        <v>302</v>
      </c>
    </row>
    <row r="226" spans="1:25" x14ac:dyDescent="0.25">
      <c r="A226" t="s">
        <v>386</v>
      </c>
      <c r="B226">
        <v>32.141826390608301</v>
      </c>
      <c r="C226">
        <v>14.870818703354599</v>
      </c>
      <c r="D226" s="11" t="s">
        <v>226</v>
      </c>
      <c r="F226" s="8" t="str">
        <f t="shared" si="20"/>
        <v>New "Load.m1_trf_5286933a" bus1="82049805286933.1.2.3.4" phases=3 conn=Wye model=2 kv=0.380 kw=32,1418263906083 kvar=14,8708187033546 daily="CURVA" status=variable vmaxpu=1.5 vminpu=0.92</v>
      </c>
      <c r="G226" t="s">
        <v>290</v>
      </c>
      <c r="H226" t="s">
        <v>303</v>
      </c>
      <c r="I226" s="5" t="str">
        <f t="shared" si="21"/>
        <v>m1_trf_5286933a</v>
      </c>
      <c r="J226" t="s">
        <v>291</v>
      </c>
      <c r="K226" t="s">
        <v>292</v>
      </c>
      <c r="L226" s="13" t="str">
        <f t="shared" si="22"/>
        <v>82049805286933</v>
      </c>
      <c r="M226" t="s">
        <v>293</v>
      </c>
      <c r="N226" t="s">
        <v>294</v>
      </c>
      <c r="O226" t="s">
        <v>295</v>
      </c>
      <c r="P226" t="s">
        <v>304</v>
      </c>
      <c r="Q226" t="s">
        <v>297</v>
      </c>
      <c r="R226" t="s">
        <v>298</v>
      </c>
      <c r="S226" s="5">
        <f t="shared" si="23"/>
        <v>32.141826390608301</v>
      </c>
      <c r="T226" t="s">
        <v>299</v>
      </c>
      <c r="U226" s="5">
        <f t="shared" si="24"/>
        <v>14.870818703354599</v>
      </c>
      <c r="V226" t="s">
        <v>448</v>
      </c>
      <c r="W226" t="s">
        <v>300</v>
      </c>
      <c r="X226" t="s">
        <v>301</v>
      </c>
      <c r="Y226" t="s">
        <v>302</v>
      </c>
    </row>
    <row r="227" spans="1:25" x14ac:dyDescent="0.25">
      <c r="A227" t="s">
        <v>387</v>
      </c>
      <c r="B227">
        <v>50.292403655096699</v>
      </c>
      <c r="C227">
        <v>23.518521316471801</v>
      </c>
      <c r="D227" s="11" t="s">
        <v>227</v>
      </c>
      <c r="F227" s="8" t="str">
        <f t="shared" si="20"/>
        <v>New "Load.m1_trf_5286934a" bus1="82049885286934.1.2.3.4" phases=3 conn=Wye model=2 kv=0.380 kw=50,2924036550967 kvar=23,5185213164718 daily="CURVA" status=variable vmaxpu=1.5 vminpu=0.92</v>
      </c>
      <c r="G227" t="s">
        <v>290</v>
      </c>
      <c r="H227" t="s">
        <v>303</v>
      </c>
      <c r="I227" s="5" t="str">
        <f t="shared" si="21"/>
        <v>m1_trf_5286934a</v>
      </c>
      <c r="J227" t="s">
        <v>291</v>
      </c>
      <c r="K227" t="s">
        <v>292</v>
      </c>
      <c r="L227" s="13" t="str">
        <f t="shared" si="22"/>
        <v>82049885286934</v>
      </c>
      <c r="M227" t="s">
        <v>293</v>
      </c>
      <c r="N227" t="s">
        <v>294</v>
      </c>
      <c r="O227" t="s">
        <v>295</v>
      </c>
      <c r="P227" t="s">
        <v>304</v>
      </c>
      <c r="Q227" t="s">
        <v>297</v>
      </c>
      <c r="R227" t="s">
        <v>298</v>
      </c>
      <c r="S227" s="5">
        <f t="shared" si="23"/>
        <v>50.292403655096699</v>
      </c>
      <c r="T227" t="s">
        <v>299</v>
      </c>
      <c r="U227" s="5">
        <f t="shared" si="24"/>
        <v>23.518521316471801</v>
      </c>
      <c r="V227" t="s">
        <v>448</v>
      </c>
      <c r="W227" t="s">
        <v>300</v>
      </c>
      <c r="X227" t="s">
        <v>301</v>
      </c>
      <c r="Y227" t="s">
        <v>302</v>
      </c>
    </row>
    <row r="228" spans="1:25" x14ac:dyDescent="0.25">
      <c r="A228" t="s">
        <v>388</v>
      </c>
      <c r="B228">
        <v>9.7983670716565499</v>
      </c>
      <c r="C228">
        <v>4.5182425620454696</v>
      </c>
      <c r="D228" s="11" t="s">
        <v>228</v>
      </c>
      <c r="F228" s="8" t="str">
        <f t="shared" si="20"/>
        <v>New "Load.m1_trf_5286935a" bus1="82050325286935.1.2.3.4" phases=3 conn=Wye model=2 kv=0.380 kw=9,79836707165655 kvar=4,51824256204547 daily="CURVA" status=variable vmaxpu=1.5 vminpu=0.92</v>
      </c>
      <c r="G228" t="s">
        <v>290</v>
      </c>
      <c r="H228" t="s">
        <v>303</v>
      </c>
      <c r="I228" s="5" t="str">
        <f t="shared" si="21"/>
        <v>m1_trf_5286935a</v>
      </c>
      <c r="J228" t="s">
        <v>291</v>
      </c>
      <c r="K228" t="s">
        <v>292</v>
      </c>
      <c r="L228" s="13" t="str">
        <f t="shared" si="22"/>
        <v>82050325286935</v>
      </c>
      <c r="M228" t="s">
        <v>293</v>
      </c>
      <c r="N228" t="s">
        <v>294</v>
      </c>
      <c r="O228" t="s">
        <v>295</v>
      </c>
      <c r="P228" t="s">
        <v>304</v>
      </c>
      <c r="Q228" t="s">
        <v>297</v>
      </c>
      <c r="R228" t="s">
        <v>298</v>
      </c>
      <c r="S228" s="5">
        <f t="shared" si="23"/>
        <v>9.7983670716565499</v>
      </c>
      <c r="T228" t="s">
        <v>299</v>
      </c>
      <c r="U228" s="5">
        <f t="shared" si="24"/>
        <v>4.5182425620454696</v>
      </c>
      <c r="V228" t="s">
        <v>448</v>
      </c>
      <c r="W228" t="s">
        <v>300</v>
      </c>
      <c r="X228" t="s">
        <v>301</v>
      </c>
      <c r="Y228" t="s">
        <v>302</v>
      </c>
    </row>
    <row r="229" spans="1:25" x14ac:dyDescent="0.25">
      <c r="A229" t="s">
        <v>389</v>
      </c>
      <c r="B229">
        <v>22.5849169808853</v>
      </c>
      <c r="C229">
        <v>10.308969455351299</v>
      </c>
      <c r="D229" s="11" t="s">
        <v>229</v>
      </c>
      <c r="F229" s="8" t="str">
        <f t="shared" si="20"/>
        <v>New "Load.m1_trf_5286936a" bus1="82049975286936.1.2.3.4" phases=3 conn=Wye model=2 kv=0.380 kw=22,5849169808853 kvar=10,3089694553513 daily="CURVA" status=variable vmaxpu=1.5 vminpu=0.92</v>
      </c>
      <c r="G229" t="s">
        <v>290</v>
      </c>
      <c r="H229" t="s">
        <v>303</v>
      </c>
      <c r="I229" s="5" t="str">
        <f t="shared" si="21"/>
        <v>m1_trf_5286936a</v>
      </c>
      <c r="J229" t="s">
        <v>291</v>
      </c>
      <c r="K229" t="s">
        <v>292</v>
      </c>
      <c r="L229" s="13" t="str">
        <f t="shared" si="22"/>
        <v>82049975286936</v>
      </c>
      <c r="M229" t="s">
        <v>293</v>
      </c>
      <c r="N229" t="s">
        <v>294</v>
      </c>
      <c r="O229" t="s">
        <v>295</v>
      </c>
      <c r="P229" t="s">
        <v>304</v>
      </c>
      <c r="Q229" t="s">
        <v>297</v>
      </c>
      <c r="R229" t="s">
        <v>298</v>
      </c>
      <c r="S229" s="5">
        <f t="shared" si="23"/>
        <v>22.5849169808853</v>
      </c>
      <c r="T229" t="s">
        <v>299</v>
      </c>
      <c r="U229" s="5">
        <f t="shared" si="24"/>
        <v>10.308969455351299</v>
      </c>
      <c r="V229" t="s">
        <v>448</v>
      </c>
      <c r="W229" t="s">
        <v>300</v>
      </c>
      <c r="X229" t="s">
        <v>301</v>
      </c>
      <c r="Y229" t="s">
        <v>302</v>
      </c>
    </row>
    <row r="230" spans="1:25" x14ac:dyDescent="0.25">
      <c r="A230" t="s">
        <v>390</v>
      </c>
      <c r="B230">
        <v>8.1989295004688998</v>
      </c>
      <c r="C230">
        <v>3.7786466840681001</v>
      </c>
      <c r="D230" s="11" t="s">
        <v>230</v>
      </c>
      <c r="F230" s="8" t="str">
        <f t="shared" si="20"/>
        <v>New "Load.m1_trf_5286937a" bus1="82050035286937.1.2.3.4" phases=3 conn=Wye model=2 kv=0.380 kw=8,1989295004689 kvar=3,7786466840681 daily="CURVA" status=variable vmaxpu=1.5 vminpu=0.92</v>
      </c>
      <c r="G230" t="s">
        <v>290</v>
      </c>
      <c r="H230" t="s">
        <v>303</v>
      </c>
      <c r="I230" s="5" t="str">
        <f t="shared" si="21"/>
        <v>m1_trf_5286937a</v>
      </c>
      <c r="J230" t="s">
        <v>291</v>
      </c>
      <c r="K230" t="s">
        <v>292</v>
      </c>
      <c r="L230" s="13" t="str">
        <f t="shared" si="22"/>
        <v>82050035286937</v>
      </c>
      <c r="M230" t="s">
        <v>293</v>
      </c>
      <c r="N230" t="s">
        <v>294</v>
      </c>
      <c r="O230" t="s">
        <v>295</v>
      </c>
      <c r="P230" t="s">
        <v>304</v>
      </c>
      <c r="Q230" t="s">
        <v>297</v>
      </c>
      <c r="R230" t="s">
        <v>298</v>
      </c>
      <c r="S230" s="5">
        <f t="shared" si="23"/>
        <v>8.1989295004688998</v>
      </c>
      <c r="T230" t="s">
        <v>299</v>
      </c>
      <c r="U230" s="5">
        <f t="shared" si="24"/>
        <v>3.7786466840681001</v>
      </c>
      <c r="V230" t="s">
        <v>448</v>
      </c>
      <c r="W230" t="s">
        <v>300</v>
      </c>
      <c r="X230" t="s">
        <v>301</v>
      </c>
      <c r="Y230" t="s">
        <v>302</v>
      </c>
    </row>
    <row r="231" spans="1:25" x14ac:dyDescent="0.25">
      <c r="A231" t="s">
        <v>391</v>
      </c>
      <c r="B231">
        <v>29.188145603349401</v>
      </c>
      <c r="C231">
        <v>13.533767187386699</v>
      </c>
      <c r="D231" s="11" t="s">
        <v>231</v>
      </c>
      <c r="F231" s="8" t="str">
        <f t="shared" si="20"/>
        <v>New "Load.m1_trf_5286938a" bus1="82050465286938.1.2.3.4" phases=3 conn=Wye model=2 kv=0.380 kw=29,1881456033494 kvar=13,5337671873867 daily="CURVA" status=variable vmaxpu=1.5 vminpu=0.92</v>
      </c>
      <c r="G231" t="s">
        <v>290</v>
      </c>
      <c r="H231" t="s">
        <v>303</v>
      </c>
      <c r="I231" s="5" t="str">
        <f t="shared" si="21"/>
        <v>m1_trf_5286938a</v>
      </c>
      <c r="J231" t="s">
        <v>291</v>
      </c>
      <c r="K231" t="s">
        <v>292</v>
      </c>
      <c r="L231" s="13" t="str">
        <f t="shared" si="22"/>
        <v>82050465286938</v>
      </c>
      <c r="M231" t="s">
        <v>293</v>
      </c>
      <c r="N231" t="s">
        <v>294</v>
      </c>
      <c r="O231" t="s">
        <v>295</v>
      </c>
      <c r="P231" t="s">
        <v>304</v>
      </c>
      <c r="Q231" t="s">
        <v>297</v>
      </c>
      <c r="R231" t="s">
        <v>298</v>
      </c>
      <c r="S231" s="5">
        <f t="shared" si="23"/>
        <v>29.188145603349401</v>
      </c>
      <c r="T231" t="s">
        <v>299</v>
      </c>
      <c r="U231" s="5">
        <f t="shared" si="24"/>
        <v>13.533767187386699</v>
      </c>
      <c r="V231" t="s">
        <v>448</v>
      </c>
      <c r="W231" t="s">
        <v>300</v>
      </c>
      <c r="X231" t="s">
        <v>301</v>
      </c>
      <c r="Y231" t="s">
        <v>302</v>
      </c>
    </row>
    <row r="232" spans="1:25" x14ac:dyDescent="0.25">
      <c r="A232" t="s">
        <v>392</v>
      </c>
      <c r="B232">
        <v>16.581531056994699</v>
      </c>
      <c r="C232">
        <v>7.64787309896679</v>
      </c>
      <c r="D232" s="11" t="s">
        <v>232</v>
      </c>
      <c r="F232" s="8" t="str">
        <f t="shared" si="20"/>
        <v>New "Load.m1_trf_5286939a" bus1="82039815286939.1.2.3.4" phases=3 conn=Wye model=2 kv=0.380 kw=16,5815310569947 kvar=7,64787309896679 daily="CURVA" status=variable vmaxpu=1.5 vminpu=0.92</v>
      </c>
      <c r="G232" t="s">
        <v>290</v>
      </c>
      <c r="H232" t="s">
        <v>303</v>
      </c>
      <c r="I232" s="5" t="str">
        <f t="shared" si="21"/>
        <v>m1_trf_5286939a</v>
      </c>
      <c r="J232" t="s">
        <v>291</v>
      </c>
      <c r="K232" t="s">
        <v>292</v>
      </c>
      <c r="L232" s="13" t="str">
        <f t="shared" si="22"/>
        <v>82039815286939</v>
      </c>
      <c r="M232" t="s">
        <v>293</v>
      </c>
      <c r="N232" t="s">
        <v>294</v>
      </c>
      <c r="O232" t="s">
        <v>295</v>
      </c>
      <c r="P232" t="s">
        <v>304</v>
      </c>
      <c r="Q232" t="s">
        <v>297</v>
      </c>
      <c r="R232" t="s">
        <v>298</v>
      </c>
      <c r="S232" s="5">
        <f t="shared" si="23"/>
        <v>16.581531056994699</v>
      </c>
      <c r="T232" t="s">
        <v>299</v>
      </c>
      <c r="U232" s="5">
        <f t="shared" si="24"/>
        <v>7.64787309896679</v>
      </c>
      <c r="V232" t="s">
        <v>448</v>
      </c>
      <c r="W232" t="s">
        <v>300</v>
      </c>
      <c r="X232" t="s">
        <v>301</v>
      </c>
      <c r="Y232" t="s">
        <v>302</v>
      </c>
    </row>
    <row r="233" spans="1:25" x14ac:dyDescent="0.25">
      <c r="A233" t="s">
        <v>393</v>
      </c>
      <c r="B233">
        <v>21.0333909629746</v>
      </c>
      <c r="C233">
        <v>9.6515624882418898</v>
      </c>
      <c r="D233" s="11" t="s">
        <v>233</v>
      </c>
      <c r="F233" s="8" t="str">
        <f t="shared" si="20"/>
        <v>New "Load.m1_trf_5286940a" bus1="82039945286940.1.2.3.4" phases=3 conn=Wye model=2 kv=0.380 kw=21,0333909629746 kvar=9,65156248824189 daily="CURVA" status=variable vmaxpu=1.5 vminpu=0.92</v>
      </c>
      <c r="G233" t="s">
        <v>290</v>
      </c>
      <c r="H233" t="s">
        <v>303</v>
      </c>
      <c r="I233" s="5" t="str">
        <f t="shared" si="21"/>
        <v>m1_trf_5286940a</v>
      </c>
      <c r="J233" t="s">
        <v>291</v>
      </c>
      <c r="K233" t="s">
        <v>292</v>
      </c>
      <c r="L233" s="13" t="str">
        <f t="shared" si="22"/>
        <v>82039945286940</v>
      </c>
      <c r="M233" t="s">
        <v>293</v>
      </c>
      <c r="N233" t="s">
        <v>294</v>
      </c>
      <c r="O233" t="s">
        <v>295</v>
      </c>
      <c r="P233" t="s">
        <v>304</v>
      </c>
      <c r="Q233" t="s">
        <v>297</v>
      </c>
      <c r="R233" t="s">
        <v>298</v>
      </c>
      <c r="S233" s="5">
        <f t="shared" si="23"/>
        <v>21.0333909629746</v>
      </c>
      <c r="T233" t="s">
        <v>299</v>
      </c>
      <c r="U233" s="5">
        <f t="shared" si="24"/>
        <v>9.6515624882418898</v>
      </c>
      <c r="V233" t="s">
        <v>448</v>
      </c>
      <c r="W233" t="s">
        <v>300</v>
      </c>
      <c r="X233" t="s">
        <v>301</v>
      </c>
      <c r="Y233" t="s">
        <v>302</v>
      </c>
    </row>
    <row r="234" spans="1:25" x14ac:dyDescent="0.25">
      <c r="A234" t="s">
        <v>394</v>
      </c>
      <c r="B234">
        <v>26.381717671955698</v>
      </c>
      <c r="C234">
        <v>12.1321790899274</v>
      </c>
      <c r="D234" s="11" t="s">
        <v>234</v>
      </c>
      <c r="F234" s="8" t="str">
        <f t="shared" si="20"/>
        <v>New "Load.m1_trf_5286941a" bus1="82040015286941.1.2.3.4" phases=3 conn=Wye model=2 kv=0.380 kw=26,3817176719557 kvar=12,1321790899274 daily="CURVA" status=variable vmaxpu=1.5 vminpu=0.92</v>
      </c>
      <c r="G234" t="s">
        <v>290</v>
      </c>
      <c r="H234" t="s">
        <v>303</v>
      </c>
      <c r="I234" s="5" t="str">
        <f t="shared" si="21"/>
        <v>m1_trf_5286941a</v>
      </c>
      <c r="J234" t="s">
        <v>291</v>
      </c>
      <c r="K234" t="s">
        <v>292</v>
      </c>
      <c r="L234" s="13" t="str">
        <f t="shared" si="22"/>
        <v>82040015286941</v>
      </c>
      <c r="M234" t="s">
        <v>293</v>
      </c>
      <c r="N234" t="s">
        <v>294</v>
      </c>
      <c r="O234" t="s">
        <v>295</v>
      </c>
      <c r="P234" t="s">
        <v>304</v>
      </c>
      <c r="Q234" t="s">
        <v>297</v>
      </c>
      <c r="R234" t="s">
        <v>298</v>
      </c>
      <c r="S234" s="5">
        <f t="shared" si="23"/>
        <v>26.381717671955698</v>
      </c>
      <c r="T234" t="s">
        <v>299</v>
      </c>
      <c r="U234" s="5">
        <f t="shared" si="24"/>
        <v>12.1321790899274</v>
      </c>
      <c r="V234" t="s">
        <v>448</v>
      </c>
      <c r="W234" t="s">
        <v>300</v>
      </c>
      <c r="X234" t="s">
        <v>301</v>
      </c>
      <c r="Y234" t="s">
        <v>302</v>
      </c>
    </row>
    <row r="235" spans="1:25" x14ac:dyDescent="0.25">
      <c r="A235" t="s">
        <v>395</v>
      </c>
      <c r="B235">
        <v>11.4764256540572</v>
      </c>
      <c r="C235">
        <v>5.2992205213807599</v>
      </c>
      <c r="D235" s="11" t="s">
        <v>235</v>
      </c>
      <c r="F235" s="8" t="str">
        <f t="shared" si="20"/>
        <v>New "Load.m1_trf_5286942a" bus1="82040165286942.1.2.3.4" phases=3 conn=Wye model=2 kv=0.380 kw=11,4764256540572 kvar=5,29922052138076 daily="CURVA" status=variable vmaxpu=1.5 vminpu=0.92</v>
      </c>
      <c r="G235" t="s">
        <v>290</v>
      </c>
      <c r="H235" t="s">
        <v>303</v>
      </c>
      <c r="I235" s="5" t="str">
        <f t="shared" si="21"/>
        <v>m1_trf_5286942a</v>
      </c>
      <c r="J235" t="s">
        <v>291</v>
      </c>
      <c r="K235" t="s">
        <v>292</v>
      </c>
      <c r="L235" s="13" t="str">
        <f t="shared" si="22"/>
        <v>82040165286942</v>
      </c>
      <c r="M235" t="s">
        <v>293</v>
      </c>
      <c r="N235" t="s">
        <v>294</v>
      </c>
      <c r="O235" t="s">
        <v>295</v>
      </c>
      <c r="P235" t="s">
        <v>304</v>
      </c>
      <c r="Q235" t="s">
        <v>297</v>
      </c>
      <c r="R235" t="s">
        <v>298</v>
      </c>
      <c r="S235" s="5">
        <f t="shared" si="23"/>
        <v>11.4764256540572</v>
      </c>
      <c r="T235" t="s">
        <v>299</v>
      </c>
      <c r="U235" s="5">
        <f t="shared" si="24"/>
        <v>5.2992205213807599</v>
      </c>
      <c r="V235" t="s">
        <v>448</v>
      </c>
      <c r="W235" t="s">
        <v>300</v>
      </c>
      <c r="X235" t="s">
        <v>301</v>
      </c>
      <c r="Y235" t="s">
        <v>302</v>
      </c>
    </row>
    <row r="236" spans="1:25" x14ac:dyDescent="0.25">
      <c r="A236" t="s">
        <v>396</v>
      </c>
      <c r="B236">
        <v>9.9029401532996904</v>
      </c>
      <c r="C236">
        <v>4.5556746652072597</v>
      </c>
      <c r="D236" s="11" t="s">
        <v>236</v>
      </c>
      <c r="F236" s="8" t="str">
        <f t="shared" si="20"/>
        <v>New "Load.m1_trf_5286943a" bus1="82040265286943.1.2.3.4" phases=3 conn=Wye model=2 kv=0.380 kw=9,90294015329969 kvar=4,55567466520726 daily="CURVA" status=variable vmaxpu=1.5 vminpu=0.92</v>
      </c>
      <c r="G236" t="s">
        <v>290</v>
      </c>
      <c r="H236" t="s">
        <v>303</v>
      </c>
      <c r="I236" s="5" t="str">
        <f t="shared" si="21"/>
        <v>m1_trf_5286943a</v>
      </c>
      <c r="J236" t="s">
        <v>291</v>
      </c>
      <c r="K236" t="s">
        <v>292</v>
      </c>
      <c r="L236" s="13" t="str">
        <f t="shared" si="22"/>
        <v>82040265286943</v>
      </c>
      <c r="M236" t="s">
        <v>293</v>
      </c>
      <c r="N236" t="s">
        <v>294</v>
      </c>
      <c r="O236" t="s">
        <v>295</v>
      </c>
      <c r="P236" t="s">
        <v>304</v>
      </c>
      <c r="Q236" t="s">
        <v>297</v>
      </c>
      <c r="R236" t="s">
        <v>298</v>
      </c>
      <c r="S236" s="5">
        <f t="shared" si="23"/>
        <v>9.9029401532996904</v>
      </c>
      <c r="T236" t="s">
        <v>299</v>
      </c>
      <c r="U236" s="5">
        <f t="shared" si="24"/>
        <v>4.5556746652072597</v>
      </c>
      <c r="V236" t="s">
        <v>448</v>
      </c>
      <c r="W236" t="s">
        <v>300</v>
      </c>
      <c r="X236" t="s">
        <v>301</v>
      </c>
      <c r="Y236" t="s">
        <v>302</v>
      </c>
    </row>
    <row r="237" spans="1:25" x14ac:dyDescent="0.25">
      <c r="A237" t="s">
        <v>397</v>
      </c>
      <c r="B237">
        <v>13.3886340114127</v>
      </c>
      <c r="C237">
        <v>6.17979821707823</v>
      </c>
      <c r="D237" s="11" t="s">
        <v>237</v>
      </c>
      <c r="F237" s="8" t="str">
        <f t="shared" si="20"/>
        <v>New "Load.m1_trf_5286944a" bus1="82039725286944.1.2.3.4" phases=3 conn=Wye model=2 kv=0.380 kw=13,3886340114127 kvar=6,17979821707823 daily="CURVA" status=variable vmaxpu=1.5 vminpu=0.92</v>
      </c>
      <c r="G237" t="s">
        <v>290</v>
      </c>
      <c r="H237" t="s">
        <v>303</v>
      </c>
      <c r="I237" s="5" t="str">
        <f t="shared" si="21"/>
        <v>m1_trf_5286944a</v>
      </c>
      <c r="J237" t="s">
        <v>291</v>
      </c>
      <c r="K237" t="s">
        <v>292</v>
      </c>
      <c r="L237" s="13" t="str">
        <f t="shared" si="22"/>
        <v>82039725286944</v>
      </c>
      <c r="M237" t="s">
        <v>293</v>
      </c>
      <c r="N237" t="s">
        <v>294</v>
      </c>
      <c r="O237" t="s">
        <v>295</v>
      </c>
      <c r="P237" t="s">
        <v>304</v>
      </c>
      <c r="Q237" t="s">
        <v>297</v>
      </c>
      <c r="R237" t="s">
        <v>298</v>
      </c>
      <c r="S237" s="5">
        <f t="shared" si="23"/>
        <v>13.3886340114127</v>
      </c>
      <c r="T237" t="s">
        <v>299</v>
      </c>
      <c r="U237" s="5">
        <f t="shared" si="24"/>
        <v>6.17979821707823</v>
      </c>
      <c r="V237" t="s">
        <v>448</v>
      </c>
      <c r="W237" t="s">
        <v>300</v>
      </c>
      <c r="X237" t="s">
        <v>301</v>
      </c>
      <c r="Y237" t="s">
        <v>302</v>
      </c>
    </row>
    <row r="238" spans="1:25" x14ac:dyDescent="0.25">
      <c r="A238" t="s">
        <v>398</v>
      </c>
      <c r="B238">
        <v>26.992429406281602</v>
      </c>
      <c r="C238">
        <v>12.453592784576699</v>
      </c>
      <c r="D238" s="11" t="s">
        <v>238</v>
      </c>
      <c r="F238" s="8" t="str">
        <f t="shared" si="20"/>
        <v>New "Load.m1_trf_5286945a" bus1="82040415286945.1.2.3.4" phases=3 conn=Wye model=2 kv=0.380 kw=26,9924294062816 kvar=12,4535927845767 daily="CURVA" status=variable vmaxpu=1.5 vminpu=0.92</v>
      </c>
      <c r="G238" t="s">
        <v>290</v>
      </c>
      <c r="H238" t="s">
        <v>303</v>
      </c>
      <c r="I238" s="5" t="str">
        <f t="shared" si="21"/>
        <v>m1_trf_5286945a</v>
      </c>
      <c r="J238" t="s">
        <v>291</v>
      </c>
      <c r="K238" t="s">
        <v>292</v>
      </c>
      <c r="L238" s="13" t="str">
        <f t="shared" si="22"/>
        <v>82040415286945</v>
      </c>
      <c r="M238" t="s">
        <v>293</v>
      </c>
      <c r="N238" t="s">
        <v>294</v>
      </c>
      <c r="O238" t="s">
        <v>295</v>
      </c>
      <c r="P238" t="s">
        <v>304</v>
      </c>
      <c r="Q238" t="s">
        <v>297</v>
      </c>
      <c r="R238" t="s">
        <v>298</v>
      </c>
      <c r="S238" s="5">
        <f t="shared" si="23"/>
        <v>26.992429406281602</v>
      </c>
      <c r="T238" t="s">
        <v>299</v>
      </c>
      <c r="U238" s="5">
        <f t="shared" si="24"/>
        <v>12.453592784576699</v>
      </c>
      <c r="V238" t="s">
        <v>448</v>
      </c>
      <c r="W238" t="s">
        <v>300</v>
      </c>
      <c r="X238" t="s">
        <v>301</v>
      </c>
      <c r="Y238" t="s">
        <v>302</v>
      </c>
    </row>
    <row r="239" spans="1:25" x14ac:dyDescent="0.25">
      <c r="A239" t="s">
        <v>399</v>
      </c>
      <c r="B239">
        <v>14.461816962409699</v>
      </c>
      <c r="C239">
        <v>6.6564487051377501</v>
      </c>
      <c r="D239" s="11" t="s">
        <v>239</v>
      </c>
      <c r="F239" s="8" t="str">
        <f t="shared" si="20"/>
        <v>New "Load.m1_trf_5286946a" bus1="82040575286946.1.2.3.4" phases=3 conn=Wye model=2 kv=0.380 kw=14,4618169624097 kvar=6,65644870513775 daily="CURVA" status=variable vmaxpu=1.5 vminpu=0.92</v>
      </c>
      <c r="G239" t="s">
        <v>290</v>
      </c>
      <c r="H239" t="s">
        <v>303</v>
      </c>
      <c r="I239" s="5" t="str">
        <f t="shared" si="21"/>
        <v>m1_trf_5286946a</v>
      </c>
      <c r="J239" t="s">
        <v>291</v>
      </c>
      <c r="K239" t="s">
        <v>292</v>
      </c>
      <c r="L239" s="13" t="str">
        <f t="shared" si="22"/>
        <v>82040575286946</v>
      </c>
      <c r="M239" t="s">
        <v>293</v>
      </c>
      <c r="N239" t="s">
        <v>294</v>
      </c>
      <c r="O239" t="s">
        <v>295</v>
      </c>
      <c r="P239" t="s">
        <v>304</v>
      </c>
      <c r="Q239" t="s">
        <v>297</v>
      </c>
      <c r="R239" t="s">
        <v>298</v>
      </c>
      <c r="S239" s="5">
        <f t="shared" si="23"/>
        <v>14.461816962409699</v>
      </c>
      <c r="T239" t="s">
        <v>299</v>
      </c>
      <c r="U239" s="5">
        <f t="shared" si="24"/>
        <v>6.6564487051377501</v>
      </c>
      <c r="V239" t="s">
        <v>448</v>
      </c>
      <c r="W239" t="s">
        <v>300</v>
      </c>
      <c r="X239" t="s">
        <v>301</v>
      </c>
      <c r="Y239" t="s">
        <v>302</v>
      </c>
    </row>
    <row r="240" spans="1:25" x14ac:dyDescent="0.25">
      <c r="A240" t="s">
        <v>400</v>
      </c>
      <c r="B240">
        <v>24.9775356749488</v>
      </c>
      <c r="C240">
        <v>11.5231147265037</v>
      </c>
      <c r="D240" s="11" t="s">
        <v>240</v>
      </c>
      <c r="F240" s="8" t="str">
        <f t="shared" si="20"/>
        <v>New "Load.m1_trf_5440862a" bus1="81479715440862.1.2.3.4" phases=3 conn=Wye model=2 kv=0.380 kw=24,9775356749488 kvar=11,5231147265037 daily="CURVA" status=variable vmaxpu=1.5 vminpu=0.92</v>
      </c>
      <c r="G240" t="s">
        <v>290</v>
      </c>
      <c r="H240" t="s">
        <v>303</v>
      </c>
      <c r="I240" s="5" t="str">
        <f t="shared" si="21"/>
        <v>m1_trf_5440862a</v>
      </c>
      <c r="J240" t="s">
        <v>291</v>
      </c>
      <c r="K240" t="s">
        <v>292</v>
      </c>
      <c r="L240" s="13" t="str">
        <f t="shared" si="22"/>
        <v>81479715440862</v>
      </c>
      <c r="M240" t="s">
        <v>293</v>
      </c>
      <c r="N240" t="s">
        <v>294</v>
      </c>
      <c r="O240" t="s">
        <v>295</v>
      </c>
      <c r="P240" t="s">
        <v>304</v>
      </c>
      <c r="Q240" t="s">
        <v>297</v>
      </c>
      <c r="R240" t="s">
        <v>298</v>
      </c>
      <c r="S240" s="5">
        <f t="shared" si="23"/>
        <v>24.9775356749488</v>
      </c>
      <c r="T240" t="s">
        <v>299</v>
      </c>
      <c r="U240" s="5">
        <f t="shared" si="24"/>
        <v>11.5231147265037</v>
      </c>
      <c r="V240" t="s">
        <v>448</v>
      </c>
      <c r="W240" t="s">
        <v>300</v>
      </c>
      <c r="X240" t="s">
        <v>301</v>
      </c>
      <c r="Y240" t="s">
        <v>302</v>
      </c>
    </row>
    <row r="241" spans="1:25" x14ac:dyDescent="0.25">
      <c r="A241" t="s">
        <v>401</v>
      </c>
      <c r="B241">
        <v>14.0411363760069</v>
      </c>
      <c r="C241">
        <v>6.4313286690047402</v>
      </c>
      <c r="D241" s="11" t="s">
        <v>241</v>
      </c>
      <c r="F241" s="8" t="str">
        <f t="shared" si="20"/>
        <v>New "Load.m1_trf_5469845a" bus1="82032105469845.1.2.3.4" phases=3 conn=Wye model=2 kv=0.380 kw=14,0411363760069 kvar=6,43132866900474 daily="CURVA" status=variable vmaxpu=1.5 vminpu=0.92</v>
      </c>
      <c r="G241" t="s">
        <v>290</v>
      </c>
      <c r="H241" t="s">
        <v>303</v>
      </c>
      <c r="I241" s="5" t="str">
        <f t="shared" si="21"/>
        <v>m1_trf_5469845a</v>
      </c>
      <c r="J241" t="s">
        <v>291</v>
      </c>
      <c r="K241" t="s">
        <v>292</v>
      </c>
      <c r="L241" s="13" t="str">
        <f t="shared" si="22"/>
        <v>82032105469845</v>
      </c>
      <c r="M241" t="s">
        <v>293</v>
      </c>
      <c r="N241" t="s">
        <v>294</v>
      </c>
      <c r="O241" t="s">
        <v>295</v>
      </c>
      <c r="P241" t="s">
        <v>304</v>
      </c>
      <c r="Q241" t="s">
        <v>297</v>
      </c>
      <c r="R241" t="s">
        <v>298</v>
      </c>
      <c r="S241" s="5">
        <f t="shared" si="23"/>
        <v>14.0411363760069</v>
      </c>
      <c r="T241" t="s">
        <v>299</v>
      </c>
      <c r="U241" s="5">
        <f t="shared" si="24"/>
        <v>6.4313286690047402</v>
      </c>
      <c r="V241" t="s">
        <v>448</v>
      </c>
      <c r="W241" t="s">
        <v>300</v>
      </c>
      <c r="X241" t="s">
        <v>301</v>
      </c>
      <c r="Y241" t="s">
        <v>302</v>
      </c>
    </row>
    <row r="242" spans="1:25" x14ac:dyDescent="0.25">
      <c r="A242" t="s">
        <v>402</v>
      </c>
      <c r="B242">
        <v>11.511347831044001</v>
      </c>
      <c r="C242">
        <v>5.27957236773379</v>
      </c>
      <c r="D242" s="11" t="s">
        <v>242</v>
      </c>
      <c r="F242" s="8" t="str">
        <f t="shared" si="20"/>
        <v>New "Load.m1_trf_5470133a" bus1="82034125470133.1.2.3.4" phases=3 conn=Wye model=2 kv=0.380 kw=11,511347831044 kvar=5,27957236773379 daily="CURVA" status=variable vmaxpu=1.5 vminpu=0.92</v>
      </c>
      <c r="G242" t="s">
        <v>290</v>
      </c>
      <c r="H242" t="s">
        <v>303</v>
      </c>
      <c r="I242" s="5" t="str">
        <f t="shared" si="21"/>
        <v>m1_trf_5470133a</v>
      </c>
      <c r="J242" t="s">
        <v>291</v>
      </c>
      <c r="K242" t="s">
        <v>292</v>
      </c>
      <c r="L242" s="13" t="str">
        <f t="shared" si="22"/>
        <v>82034125470133</v>
      </c>
      <c r="M242" t="s">
        <v>293</v>
      </c>
      <c r="N242" t="s">
        <v>294</v>
      </c>
      <c r="O242" t="s">
        <v>295</v>
      </c>
      <c r="P242" t="s">
        <v>304</v>
      </c>
      <c r="Q242" t="s">
        <v>297</v>
      </c>
      <c r="R242" t="s">
        <v>298</v>
      </c>
      <c r="S242" s="5">
        <f t="shared" si="23"/>
        <v>11.511347831044001</v>
      </c>
      <c r="T242" t="s">
        <v>299</v>
      </c>
      <c r="U242" s="5">
        <f t="shared" si="24"/>
        <v>5.27957236773379</v>
      </c>
      <c r="V242" t="s">
        <v>448</v>
      </c>
      <c r="W242" t="s">
        <v>300</v>
      </c>
      <c r="X242" t="s">
        <v>301</v>
      </c>
      <c r="Y242" t="s">
        <v>302</v>
      </c>
    </row>
    <row r="243" spans="1:25" x14ac:dyDescent="0.25">
      <c r="A243" t="s">
        <v>403</v>
      </c>
      <c r="B243">
        <v>8.1729668562095501</v>
      </c>
      <c r="C243">
        <v>3.8530694623875701</v>
      </c>
      <c r="D243" s="11" t="s">
        <v>243</v>
      </c>
      <c r="F243" s="8" t="str">
        <f t="shared" si="20"/>
        <v>New "Load.m1_trf_5472282a" bus1="87774405472282.1.2.3.4" phases=3 conn=Wye model=2 kv=0.380 kw=8,17296685620955 kvar=3,85306946238757 daily="CURVA" status=variable vmaxpu=1.5 vminpu=0.92</v>
      </c>
      <c r="G243" t="s">
        <v>290</v>
      </c>
      <c r="H243" t="s">
        <v>303</v>
      </c>
      <c r="I243" s="5" t="str">
        <f t="shared" si="21"/>
        <v>m1_trf_5472282a</v>
      </c>
      <c r="J243" t="s">
        <v>291</v>
      </c>
      <c r="K243" t="s">
        <v>292</v>
      </c>
      <c r="L243" s="13" t="str">
        <f t="shared" si="22"/>
        <v>87774405472282</v>
      </c>
      <c r="M243" t="s">
        <v>293</v>
      </c>
      <c r="N243" t="s">
        <v>294</v>
      </c>
      <c r="O243" t="s">
        <v>295</v>
      </c>
      <c r="P243" t="s">
        <v>304</v>
      </c>
      <c r="Q243" t="s">
        <v>297</v>
      </c>
      <c r="R243" t="s">
        <v>298</v>
      </c>
      <c r="S243" s="5">
        <f t="shared" si="23"/>
        <v>8.1729668562095501</v>
      </c>
      <c r="T243" t="s">
        <v>299</v>
      </c>
      <c r="U243" s="5">
        <f t="shared" si="24"/>
        <v>3.8530694623875701</v>
      </c>
      <c r="V243" t="s">
        <v>448</v>
      </c>
      <c r="W243" t="s">
        <v>300</v>
      </c>
      <c r="X243" t="s">
        <v>301</v>
      </c>
      <c r="Y243" t="s">
        <v>302</v>
      </c>
    </row>
    <row r="244" spans="1:25" x14ac:dyDescent="0.25">
      <c r="A244" t="s">
        <v>404</v>
      </c>
      <c r="B244">
        <v>8.7226100409426497</v>
      </c>
      <c r="C244">
        <v>4.0458372432502099</v>
      </c>
      <c r="D244" s="11" t="s">
        <v>244</v>
      </c>
      <c r="F244" s="8" t="str">
        <f t="shared" si="20"/>
        <v>New "Load.m1_trf_5479360a" bus1="81460535479360.1.2.3.4" phases=3 conn=Wye model=2 kv=0.380 kw=8,72261004094265 kvar=4,04583724325021 daily="CURVA" status=variable vmaxpu=1.5 vminpu=0.92</v>
      </c>
      <c r="G244" t="s">
        <v>290</v>
      </c>
      <c r="H244" t="s">
        <v>303</v>
      </c>
      <c r="I244" s="5" t="str">
        <f t="shared" si="21"/>
        <v>m1_trf_5479360a</v>
      </c>
      <c r="J244" t="s">
        <v>291</v>
      </c>
      <c r="K244" t="s">
        <v>292</v>
      </c>
      <c r="L244" s="13" t="str">
        <f t="shared" si="22"/>
        <v>81460535479360</v>
      </c>
      <c r="M244" t="s">
        <v>293</v>
      </c>
      <c r="N244" t="s">
        <v>294</v>
      </c>
      <c r="O244" t="s">
        <v>295</v>
      </c>
      <c r="P244" t="s">
        <v>304</v>
      </c>
      <c r="Q244" t="s">
        <v>297</v>
      </c>
      <c r="R244" t="s">
        <v>298</v>
      </c>
      <c r="S244" s="5">
        <f t="shared" si="23"/>
        <v>8.7226100409426497</v>
      </c>
      <c r="T244" t="s">
        <v>299</v>
      </c>
      <c r="U244" s="5">
        <f t="shared" si="24"/>
        <v>4.0458372432502099</v>
      </c>
      <c r="V244" t="s">
        <v>448</v>
      </c>
      <c r="W244" t="s">
        <v>300</v>
      </c>
      <c r="X244" t="s">
        <v>301</v>
      </c>
      <c r="Y244" t="s">
        <v>302</v>
      </c>
    </row>
    <row r="245" spans="1:25" x14ac:dyDescent="0.25">
      <c r="A245" t="s">
        <v>405</v>
      </c>
      <c r="B245">
        <v>8.8686361115045802</v>
      </c>
      <c r="C245">
        <v>4.1056400335921701</v>
      </c>
      <c r="D245" s="11" t="s">
        <v>245</v>
      </c>
      <c r="F245" s="8" t="str">
        <f t="shared" si="20"/>
        <v>New "Load.m1_trf_5491509a" bus1="88287355491509.1.2.3.4" phases=3 conn=Wye model=2 kv=0.380 kw=8,86863611150458 kvar=4,10564003359217 daily="CURVA" status=variable vmaxpu=1.5 vminpu=0.92</v>
      </c>
      <c r="G245" t="s">
        <v>290</v>
      </c>
      <c r="H245" t="s">
        <v>303</v>
      </c>
      <c r="I245" s="5" t="str">
        <f t="shared" si="21"/>
        <v>m1_trf_5491509a</v>
      </c>
      <c r="J245" t="s">
        <v>291</v>
      </c>
      <c r="K245" t="s">
        <v>292</v>
      </c>
      <c r="L245" s="13" t="str">
        <f t="shared" si="22"/>
        <v>88287355491509</v>
      </c>
      <c r="M245" t="s">
        <v>293</v>
      </c>
      <c r="N245" t="s">
        <v>294</v>
      </c>
      <c r="O245" t="s">
        <v>295</v>
      </c>
      <c r="P245" t="s">
        <v>304</v>
      </c>
      <c r="Q245" t="s">
        <v>297</v>
      </c>
      <c r="R245" t="s">
        <v>298</v>
      </c>
      <c r="S245" s="5">
        <f t="shared" si="23"/>
        <v>8.8686361115045802</v>
      </c>
      <c r="T245" t="s">
        <v>299</v>
      </c>
      <c r="U245" s="5">
        <f t="shared" si="24"/>
        <v>4.1056400335921701</v>
      </c>
      <c r="V245" t="s">
        <v>448</v>
      </c>
      <c r="W245" t="s">
        <v>300</v>
      </c>
      <c r="X245" t="s">
        <v>301</v>
      </c>
      <c r="Y245" t="s">
        <v>302</v>
      </c>
    </row>
    <row r="246" spans="1:25" x14ac:dyDescent="0.25">
      <c r="A246" t="s">
        <v>406</v>
      </c>
      <c r="B246">
        <v>22.919150993815599</v>
      </c>
      <c r="C246">
        <v>10.5469021240448</v>
      </c>
      <c r="D246" s="11" t="s">
        <v>246</v>
      </c>
      <c r="F246" s="8" t="str">
        <f t="shared" si="20"/>
        <v>New "Load.m1_trf_5499009a" bus1="82062715499009.1.2.3.4" phases=3 conn=Wye model=2 kv=0.380 kw=22,9191509938156 kvar=10,5469021240448 daily="CURVA" status=variable vmaxpu=1.5 vminpu=0.92</v>
      </c>
      <c r="G246" t="s">
        <v>290</v>
      </c>
      <c r="H246" t="s">
        <v>303</v>
      </c>
      <c r="I246" s="5" t="str">
        <f t="shared" si="21"/>
        <v>m1_trf_5499009a</v>
      </c>
      <c r="J246" t="s">
        <v>291</v>
      </c>
      <c r="K246" t="s">
        <v>292</v>
      </c>
      <c r="L246" s="13" t="str">
        <f t="shared" si="22"/>
        <v>82062715499009</v>
      </c>
      <c r="M246" t="s">
        <v>293</v>
      </c>
      <c r="N246" t="s">
        <v>294</v>
      </c>
      <c r="O246" t="s">
        <v>295</v>
      </c>
      <c r="P246" t="s">
        <v>304</v>
      </c>
      <c r="Q246" t="s">
        <v>297</v>
      </c>
      <c r="R246" t="s">
        <v>298</v>
      </c>
      <c r="S246" s="5">
        <f t="shared" si="23"/>
        <v>22.919150993815599</v>
      </c>
      <c r="T246" t="s">
        <v>299</v>
      </c>
      <c r="U246" s="5">
        <f t="shared" si="24"/>
        <v>10.5469021240448</v>
      </c>
      <c r="V246" t="s">
        <v>448</v>
      </c>
      <c r="W246" t="s">
        <v>300</v>
      </c>
      <c r="X246" t="s">
        <v>301</v>
      </c>
      <c r="Y246" t="s">
        <v>302</v>
      </c>
    </row>
    <row r="247" spans="1:25" x14ac:dyDescent="0.25">
      <c r="A247" t="s">
        <v>407</v>
      </c>
      <c r="B247">
        <v>8.6894771789872696</v>
      </c>
      <c r="C247">
        <v>4.0272928897562297</v>
      </c>
      <c r="D247" s="11" t="s">
        <v>247</v>
      </c>
      <c r="F247" s="8" t="str">
        <f t="shared" si="20"/>
        <v>New "Load.m1_trf_5485359a" bus1="88109845485359.1.2.3.4" phases=3 conn=Wye model=2 kv=0.380 kw=8,68947717898727 kvar=4,02729288975623 daily="CURVA" status=variable vmaxpu=1.5 vminpu=0.92</v>
      </c>
      <c r="G247" t="s">
        <v>290</v>
      </c>
      <c r="H247" t="s">
        <v>303</v>
      </c>
      <c r="I247" s="5" t="str">
        <f t="shared" si="21"/>
        <v>m1_trf_5485359a</v>
      </c>
      <c r="J247" t="s">
        <v>291</v>
      </c>
      <c r="K247" t="s">
        <v>292</v>
      </c>
      <c r="L247" s="13" t="str">
        <f t="shared" si="22"/>
        <v>88109845485359</v>
      </c>
      <c r="M247" t="s">
        <v>293</v>
      </c>
      <c r="N247" t="s">
        <v>294</v>
      </c>
      <c r="O247" t="s">
        <v>295</v>
      </c>
      <c r="P247" t="s">
        <v>304</v>
      </c>
      <c r="Q247" t="s">
        <v>297</v>
      </c>
      <c r="R247" t="s">
        <v>298</v>
      </c>
      <c r="S247" s="5">
        <f t="shared" si="23"/>
        <v>8.6894771789872696</v>
      </c>
      <c r="T247" t="s">
        <v>299</v>
      </c>
      <c r="U247" s="5">
        <f t="shared" si="24"/>
        <v>4.0272928897562297</v>
      </c>
      <c r="V247" t="s">
        <v>448</v>
      </c>
      <c r="W247" t="s">
        <v>300</v>
      </c>
      <c r="X247" t="s">
        <v>301</v>
      </c>
      <c r="Y247" t="s">
        <v>302</v>
      </c>
    </row>
    <row r="248" spans="1:25" x14ac:dyDescent="0.25">
      <c r="A248" t="s">
        <v>408</v>
      </c>
      <c r="B248">
        <v>26.348919832848999</v>
      </c>
      <c r="C248">
        <v>12.097445691433</v>
      </c>
      <c r="D248" s="11" t="s">
        <v>248</v>
      </c>
      <c r="F248" s="8" t="str">
        <f t="shared" si="20"/>
        <v>New "Load.m1_trf_5502834a" bus1="82026575502834.1.2.3.4" phases=3 conn=Wye model=2 kv=0.380 kw=26,348919832849 kvar=12,097445691433 daily="CURVA" status=variable vmaxpu=1.5 vminpu=0.92</v>
      </c>
      <c r="G248" t="s">
        <v>290</v>
      </c>
      <c r="H248" t="s">
        <v>303</v>
      </c>
      <c r="I248" s="5" t="str">
        <f t="shared" si="21"/>
        <v>m1_trf_5502834a</v>
      </c>
      <c r="J248" t="s">
        <v>291</v>
      </c>
      <c r="K248" t="s">
        <v>292</v>
      </c>
      <c r="L248" s="13" t="str">
        <f t="shared" si="22"/>
        <v>82026575502834</v>
      </c>
      <c r="M248" t="s">
        <v>293</v>
      </c>
      <c r="N248" t="s">
        <v>294</v>
      </c>
      <c r="O248" t="s">
        <v>295</v>
      </c>
      <c r="P248" t="s">
        <v>304</v>
      </c>
      <c r="Q248" t="s">
        <v>297</v>
      </c>
      <c r="R248" t="s">
        <v>298</v>
      </c>
      <c r="S248" s="5">
        <f t="shared" si="23"/>
        <v>26.348919832848999</v>
      </c>
      <c r="T248" t="s">
        <v>299</v>
      </c>
      <c r="U248" s="5">
        <f t="shared" si="24"/>
        <v>12.097445691433</v>
      </c>
      <c r="V248" t="s">
        <v>448</v>
      </c>
      <c r="W248" t="s">
        <v>300</v>
      </c>
      <c r="X248" t="s">
        <v>301</v>
      </c>
      <c r="Y248" t="s">
        <v>302</v>
      </c>
    </row>
    <row r="249" spans="1:25" x14ac:dyDescent="0.25">
      <c r="A249" t="s">
        <v>409</v>
      </c>
      <c r="B249">
        <v>35.243225222741103</v>
      </c>
      <c r="C249">
        <v>16.150283723913301</v>
      </c>
      <c r="D249" s="11" t="s">
        <v>249</v>
      </c>
      <c r="F249" s="8" t="str">
        <f t="shared" si="20"/>
        <v>New "Load.m1_trf_5505307a" bus1="82034555505307.1.2.3.4" phases=3 conn=Wye model=2 kv=0.380 kw=35,2432252227411 kvar=16,1502837239133 daily="CURVA" status=variable vmaxpu=1.5 vminpu=0.92</v>
      </c>
      <c r="G249" t="s">
        <v>290</v>
      </c>
      <c r="H249" t="s">
        <v>303</v>
      </c>
      <c r="I249" s="5" t="str">
        <f t="shared" si="21"/>
        <v>m1_trf_5505307a</v>
      </c>
      <c r="J249" t="s">
        <v>291</v>
      </c>
      <c r="K249" t="s">
        <v>292</v>
      </c>
      <c r="L249" s="13" t="str">
        <f t="shared" si="22"/>
        <v>82034555505307</v>
      </c>
      <c r="M249" t="s">
        <v>293</v>
      </c>
      <c r="N249" t="s">
        <v>294</v>
      </c>
      <c r="O249" t="s">
        <v>295</v>
      </c>
      <c r="P249" t="s">
        <v>304</v>
      </c>
      <c r="Q249" t="s">
        <v>297</v>
      </c>
      <c r="R249" t="s">
        <v>298</v>
      </c>
      <c r="S249" s="5">
        <f t="shared" si="23"/>
        <v>35.243225222741103</v>
      </c>
      <c r="T249" t="s">
        <v>299</v>
      </c>
      <c r="U249" s="5">
        <f t="shared" si="24"/>
        <v>16.150283723913301</v>
      </c>
      <c r="V249" t="s">
        <v>448</v>
      </c>
      <c r="W249" t="s">
        <v>300</v>
      </c>
      <c r="X249" t="s">
        <v>301</v>
      </c>
      <c r="Y249" t="s">
        <v>302</v>
      </c>
    </row>
    <row r="250" spans="1:25" x14ac:dyDescent="0.25">
      <c r="A250" t="s">
        <v>410</v>
      </c>
      <c r="B250">
        <v>18.1163603417851</v>
      </c>
      <c r="C250">
        <v>8.4083276870589607</v>
      </c>
      <c r="D250" s="11" t="s">
        <v>250</v>
      </c>
      <c r="F250" s="8" t="str">
        <f t="shared" si="20"/>
        <v>New "Load.m1_trf_5535535a" bus1="89701935535535.1.2.3.4" phases=3 conn=Wye model=2 kv=0.380 kw=18,1163603417851 kvar=8,40832768705896 daily="CURVA" status=variable vmaxpu=1.5 vminpu=0.92</v>
      </c>
      <c r="G250" t="s">
        <v>290</v>
      </c>
      <c r="H250" t="s">
        <v>303</v>
      </c>
      <c r="I250" s="5" t="str">
        <f t="shared" si="21"/>
        <v>m1_trf_5535535a</v>
      </c>
      <c r="J250" t="s">
        <v>291</v>
      </c>
      <c r="K250" t="s">
        <v>292</v>
      </c>
      <c r="L250" s="13" t="str">
        <f t="shared" si="22"/>
        <v>89701935535535</v>
      </c>
      <c r="M250" t="s">
        <v>293</v>
      </c>
      <c r="N250" t="s">
        <v>294</v>
      </c>
      <c r="O250" t="s">
        <v>295</v>
      </c>
      <c r="P250" t="s">
        <v>304</v>
      </c>
      <c r="Q250" t="s">
        <v>297</v>
      </c>
      <c r="R250" t="s">
        <v>298</v>
      </c>
      <c r="S250" s="5">
        <f t="shared" si="23"/>
        <v>18.1163603417851</v>
      </c>
      <c r="T250" t="s">
        <v>299</v>
      </c>
      <c r="U250" s="5">
        <f t="shared" si="24"/>
        <v>8.4083276870589607</v>
      </c>
      <c r="V250" t="s">
        <v>448</v>
      </c>
      <c r="W250" t="s">
        <v>300</v>
      </c>
      <c r="X250" t="s">
        <v>301</v>
      </c>
      <c r="Y250" t="s">
        <v>302</v>
      </c>
    </row>
    <row r="251" spans="1:25" x14ac:dyDescent="0.25">
      <c r="A251" t="s">
        <v>411</v>
      </c>
      <c r="B251">
        <v>11.202242360775699</v>
      </c>
      <c r="C251">
        <v>5.1655520663268</v>
      </c>
      <c r="D251" s="11" t="s">
        <v>251</v>
      </c>
      <c r="F251" s="8" t="str">
        <f t="shared" si="20"/>
        <v>New "Load.m1_trf_5537656a" bus1="89813615537656.1.2.3.4" phases=3 conn=Wye model=2 kv=0.380 kw=11,2022423607757 kvar=5,1655520663268 daily="CURVA" status=variable vmaxpu=1.5 vminpu=0.92</v>
      </c>
      <c r="G251" t="s">
        <v>290</v>
      </c>
      <c r="H251" t="s">
        <v>303</v>
      </c>
      <c r="I251" s="5" t="str">
        <f t="shared" si="21"/>
        <v>m1_trf_5537656a</v>
      </c>
      <c r="J251" t="s">
        <v>291</v>
      </c>
      <c r="K251" t="s">
        <v>292</v>
      </c>
      <c r="L251" s="13" t="str">
        <f t="shared" si="22"/>
        <v>89813615537656</v>
      </c>
      <c r="M251" t="s">
        <v>293</v>
      </c>
      <c r="N251" t="s">
        <v>294</v>
      </c>
      <c r="O251" t="s">
        <v>295</v>
      </c>
      <c r="P251" t="s">
        <v>304</v>
      </c>
      <c r="Q251" t="s">
        <v>297</v>
      </c>
      <c r="R251" t="s">
        <v>298</v>
      </c>
      <c r="S251" s="5">
        <f t="shared" si="23"/>
        <v>11.202242360775699</v>
      </c>
      <c r="T251" t="s">
        <v>299</v>
      </c>
      <c r="U251" s="5">
        <f t="shared" si="24"/>
        <v>5.1655520663268</v>
      </c>
      <c r="V251" t="s">
        <v>448</v>
      </c>
      <c r="W251" t="s">
        <v>300</v>
      </c>
      <c r="X251" t="s">
        <v>301</v>
      </c>
      <c r="Y251" t="s">
        <v>302</v>
      </c>
    </row>
    <row r="252" spans="1:25" x14ac:dyDescent="0.25">
      <c r="A252" t="s">
        <v>412</v>
      </c>
      <c r="B252">
        <v>12.009951836964399</v>
      </c>
      <c r="C252">
        <v>5.7362424560399603</v>
      </c>
      <c r="D252" s="11" t="s">
        <v>252</v>
      </c>
      <c r="F252" s="8" t="str">
        <f t="shared" si="20"/>
        <v>New "Load.m1_trf_5547722a" bus1="90017985547722.1.2.3.4" phases=3 conn=Wye model=2 kv=0.380 kw=12,0099518369644 kvar=5,73624245603996 daily="CURVA" status=variable vmaxpu=1.5 vminpu=0.92</v>
      </c>
      <c r="G252" t="s">
        <v>290</v>
      </c>
      <c r="H252" t="s">
        <v>303</v>
      </c>
      <c r="I252" s="5" t="str">
        <f t="shared" si="21"/>
        <v>m1_trf_5547722a</v>
      </c>
      <c r="J252" t="s">
        <v>291</v>
      </c>
      <c r="K252" t="s">
        <v>292</v>
      </c>
      <c r="L252" s="13" t="str">
        <f t="shared" si="22"/>
        <v>90017985547722</v>
      </c>
      <c r="M252" t="s">
        <v>293</v>
      </c>
      <c r="N252" t="s">
        <v>294</v>
      </c>
      <c r="O252" t="s">
        <v>295</v>
      </c>
      <c r="P252" t="s">
        <v>304</v>
      </c>
      <c r="Q252" t="s">
        <v>297</v>
      </c>
      <c r="R252" t="s">
        <v>298</v>
      </c>
      <c r="S252" s="5">
        <f t="shared" si="23"/>
        <v>12.009951836964399</v>
      </c>
      <c r="T252" t="s">
        <v>299</v>
      </c>
      <c r="U252" s="5">
        <f t="shared" si="24"/>
        <v>5.7362424560399603</v>
      </c>
      <c r="V252" t="s">
        <v>448</v>
      </c>
      <c r="W252" t="s">
        <v>300</v>
      </c>
      <c r="X252" t="s">
        <v>301</v>
      </c>
      <c r="Y252" t="s">
        <v>302</v>
      </c>
    </row>
    <row r="253" spans="1:25" x14ac:dyDescent="0.25">
      <c r="A253" t="s">
        <v>413</v>
      </c>
      <c r="B253">
        <v>16.1958533298397</v>
      </c>
      <c r="C253">
        <v>7.4802364838760003</v>
      </c>
      <c r="D253" s="11" t="s">
        <v>253</v>
      </c>
      <c r="F253" s="8" t="str">
        <f t="shared" si="20"/>
        <v>New "Load.m1_trf_5551754a" bus1="82061675551754.1.2.3.4" phases=3 conn=Wye model=2 kv=0.380 kw=16,1958533298397 kvar=7,480236483876 daily="CURVA" status=variable vmaxpu=1.5 vminpu=0.92</v>
      </c>
      <c r="G253" t="s">
        <v>290</v>
      </c>
      <c r="H253" t="s">
        <v>303</v>
      </c>
      <c r="I253" s="5" t="str">
        <f t="shared" si="21"/>
        <v>m1_trf_5551754a</v>
      </c>
      <c r="J253" t="s">
        <v>291</v>
      </c>
      <c r="K253" t="s">
        <v>292</v>
      </c>
      <c r="L253" s="13" t="str">
        <f t="shared" si="22"/>
        <v>82061675551754</v>
      </c>
      <c r="M253" t="s">
        <v>293</v>
      </c>
      <c r="N253" t="s">
        <v>294</v>
      </c>
      <c r="O253" t="s">
        <v>295</v>
      </c>
      <c r="P253" t="s">
        <v>304</v>
      </c>
      <c r="Q253" t="s">
        <v>297</v>
      </c>
      <c r="R253" t="s">
        <v>298</v>
      </c>
      <c r="S253" s="5">
        <f t="shared" si="23"/>
        <v>16.1958533298397</v>
      </c>
      <c r="T253" t="s">
        <v>299</v>
      </c>
      <c r="U253" s="5">
        <f t="shared" si="24"/>
        <v>7.4802364838760003</v>
      </c>
      <c r="V253" t="s">
        <v>448</v>
      </c>
      <c r="W253" t="s">
        <v>300</v>
      </c>
      <c r="X253" t="s">
        <v>301</v>
      </c>
      <c r="Y253" t="s">
        <v>302</v>
      </c>
    </row>
    <row r="254" spans="1:25" x14ac:dyDescent="0.25">
      <c r="A254" t="s">
        <v>414</v>
      </c>
      <c r="B254">
        <v>24.021149733082598</v>
      </c>
      <c r="C254">
        <v>11.287462347578099</v>
      </c>
      <c r="D254" s="11" t="s">
        <v>254</v>
      </c>
      <c r="F254" s="8" t="str">
        <f t="shared" si="20"/>
        <v>New "Load.m1_trf_5552038a" bus1="90190165552038.1.2.3.4" phases=3 conn=Wye model=2 kv=0.380 kw=24,0211497330826 kvar=11,2874623475781 daily="CURVA" status=variable vmaxpu=1.5 vminpu=0.92</v>
      </c>
      <c r="G254" t="s">
        <v>290</v>
      </c>
      <c r="H254" t="s">
        <v>303</v>
      </c>
      <c r="I254" s="5" t="str">
        <f t="shared" si="21"/>
        <v>m1_trf_5552038a</v>
      </c>
      <c r="J254" t="s">
        <v>291</v>
      </c>
      <c r="K254" t="s">
        <v>292</v>
      </c>
      <c r="L254" s="13" t="str">
        <f t="shared" si="22"/>
        <v>90190165552038</v>
      </c>
      <c r="M254" t="s">
        <v>293</v>
      </c>
      <c r="N254" t="s">
        <v>294</v>
      </c>
      <c r="O254" t="s">
        <v>295</v>
      </c>
      <c r="P254" t="s">
        <v>304</v>
      </c>
      <c r="Q254" t="s">
        <v>297</v>
      </c>
      <c r="R254" t="s">
        <v>298</v>
      </c>
      <c r="S254" s="5">
        <f t="shared" si="23"/>
        <v>24.021149733082598</v>
      </c>
      <c r="T254" t="s">
        <v>299</v>
      </c>
      <c r="U254" s="5">
        <f t="shared" si="24"/>
        <v>11.287462347578099</v>
      </c>
      <c r="V254" t="s">
        <v>448</v>
      </c>
      <c r="W254" t="s">
        <v>300</v>
      </c>
      <c r="X254" t="s">
        <v>301</v>
      </c>
      <c r="Y254" t="s">
        <v>302</v>
      </c>
    </row>
    <row r="255" spans="1:25" x14ac:dyDescent="0.25">
      <c r="A255" t="s">
        <v>415</v>
      </c>
      <c r="B255">
        <v>18.892525995122899</v>
      </c>
      <c r="C255">
        <v>8.7769036760627408</v>
      </c>
      <c r="D255" s="11" t="s">
        <v>255</v>
      </c>
      <c r="F255" s="8" t="str">
        <f t="shared" si="20"/>
        <v>New "Load.m1_trf_5552309a" bus1="82024125552309.1.2.3.4" phases=3 conn=Wye model=2 kv=0.380 kw=18,8925259951229 kvar=8,77690367606274 daily="CURVA" status=variable vmaxpu=1.5 vminpu=0.92</v>
      </c>
      <c r="G255" t="s">
        <v>290</v>
      </c>
      <c r="H255" t="s">
        <v>303</v>
      </c>
      <c r="I255" s="5" t="str">
        <f t="shared" si="21"/>
        <v>m1_trf_5552309a</v>
      </c>
      <c r="J255" t="s">
        <v>291</v>
      </c>
      <c r="K255" t="s">
        <v>292</v>
      </c>
      <c r="L255" s="13" t="str">
        <f t="shared" si="22"/>
        <v>82024125552309</v>
      </c>
      <c r="M255" t="s">
        <v>293</v>
      </c>
      <c r="N255" t="s">
        <v>294</v>
      </c>
      <c r="O255" t="s">
        <v>295</v>
      </c>
      <c r="P255" t="s">
        <v>304</v>
      </c>
      <c r="Q255" t="s">
        <v>297</v>
      </c>
      <c r="R255" t="s">
        <v>298</v>
      </c>
      <c r="S255" s="5">
        <f t="shared" si="23"/>
        <v>18.892525995122899</v>
      </c>
      <c r="T255" t="s">
        <v>299</v>
      </c>
      <c r="U255" s="5">
        <f t="shared" si="24"/>
        <v>8.7769036760627408</v>
      </c>
      <c r="V255" t="s">
        <v>448</v>
      </c>
      <c r="W255" t="s">
        <v>300</v>
      </c>
      <c r="X255" t="s">
        <v>301</v>
      </c>
      <c r="Y255" t="s">
        <v>302</v>
      </c>
    </row>
    <row r="256" spans="1:25" x14ac:dyDescent="0.25">
      <c r="A256" t="s">
        <v>416</v>
      </c>
      <c r="B256">
        <v>5.6659070846193202</v>
      </c>
      <c r="C256">
        <v>2.6337165747906099</v>
      </c>
      <c r="D256" s="11" t="s">
        <v>256</v>
      </c>
      <c r="F256" s="8" t="str">
        <f t="shared" si="20"/>
        <v>New "Load.m1_trf_5552553a" bus1="90214315552553.1.2.3.4" phases=3 conn=Wye model=2 kv=0.380 kw=5,66590708461932 kvar=2,63371657479061 daily="CURVA" status=variable vmaxpu=1.5 vminpu=0.92</v>
      </c>
      <c r="G256" t="s">
        <v>290</v>
      </c>
      <c r="H256" t="s">
        <v>303</v>
      </c>
      <c r="I256" s="5" t="str">
        <f t="shared" si="21"/>
        <v>m1_trf_5552553a</v>
      </c>
      <c r="J256" t="s">
        <v>291</v>
      </c>
      <c r="K256" t="s">
        <v>292</v>
      </c>
      <c r="L256" s="13" t="str">
        <f t="shared" si="22"/>
        <v>90214315552553</v>
      </c>
      <c r="M256" t="s">
        <v>293</v>
      </c>
      <c r="N256" t="s">
        <v>294</v>
      </c>
      <c r="O256" t="s">
        <v>295</v>
      </c>
      <c r="P256" t="s">
        <v>304</v>
      </c>
      <c r="Q256" t="s">
        <v>297</v>
      </c>
      <c r="R256" t="s">
        <v>298</v>
      </c>
      <c r="S256" s="5">
        <f t="shared" si="23"/>
        <v>5.6659070846193202</v>
      </c>
      <c r="T256" t="s">
        <v>299</v>
      </c>
      <c r="U256" s="5">
        <f t="shared" si="24"/>
        <v>2.6337165747906099</v>
      </c>
      <c r="V256" t="s">
        <v>448</v>
      </c>
      <c r="W256" t="s">
        <v>300</v>
      </c>
      <c r="X256" t="s">
        <v>301</v>
      </c>
      <c r="Y256" t="s">
        <v>302</v>
      </c>
    </row>
    <row r="257" spans="1:25" x14ac:dyDescent="0.25">
      <c r="A257" t="s">
        <v>417</v>
      </c>
      <c r="B257">
        <v>51.943260490725201</v>
      </c>
      <c r="C257">
        <v>23.6841798396167</v>
      </c>
      <c r="D257" s="11" t="s">
        <v>257</v>
      </c>
      <c r="F257" s="8" t="str">
        <f t="shared" si="20"/>
        <v>New "Load.m1_trf_5552819a" bus1="82032765552819.1.2.3.4" phases=3 conn=Wye model=2 kv=0.380 kw=51,9432604907252 kvar=23,6841798396167 daily="CURVA" status=variable vmaxpu=1.5 vminpu=0.92</v>
      </c>
      <c r="G257" t="s">
        <v>290</v>
      </c>
      <c r="H257" t="s">
        <v>303</v>
      </c>
      <c r="I257" s="5" t="str">
        <f t="shared" si="21"/>
        <v>m1_trf_5552819a</v>
      </c>
      <c r="J257" t="s">
        <v>291</v>
      </c>
      <c r="K257" t="s">
        <v>292</v>
      </c>
      <c r="L257" s="13" t="str">
        <f t="shared" si="22"/>
        <v>82032765552819</v>
      </c>
      <c r="M257" t="s">
        <v>293</v>
      </c>
      <c r="N257" t="s">
        <v>294</v>
      </c>
      <c r="O257" t="s">
        <v>295</v>
      </c>
      <c r="P257" t="s">
        <v>304</v>
      </c>
      <c r="Q257" t="s">
        <v>297</v>
      </c>
      <c r="R257" t="s">
        <v>298</v>
      </c>
      <c r="S257" s="5">
        <f t="shared" si="23"/>
        <v>51.943260490725201</v>
      </c>
      <c r="T257" t="s">
        <v>299</v>
      </c>
      <c r="U257" s="5">
        <f t="shared" si="24"/>
        <v>23.6841798396167</v>
      </c>
      <c r="V257" t="s">
        <v>448</v>
      </c>
      <c r="W257" t="s">
        <v>300</v>
      </c>
      <c r="X257" t="s">
        <v>301</v>
      </c>
      <c r="Y257" t="s">
        <v>302</v>
      </c>
    </row>
    <row r="258" spans="1:25" x14ac:dyDescent="0.25">
      <c r="A258" t="s">
        <v>418</v>
      </c>
      <c r="B258">
        <v>24.633046971178899</v>
      </c>
      <c r="C258">
        <v>11.277723095852201</v>
      </c>
      <c r="D258" s="11" t="s">
        <v>258</v>
      </c>
      <c r="F258" s="8" t="str">
        <f t="shared" si="20"/>
        <v>New "Load.m1_trf_5569878a" bus1="82055955569878.1.2.3.4" phases=3 conn=Wye model=2 kv=0.380 kw=24,6330469711789 kvar=11,2777230958522 daily="CURVA" status=variable vmaxpu=1.5 vminpu=0.92</v>
      </c>
      <c r="G258" t="s">
        <v>290</v>
      </c>
      <c r="H258" t="s">
        <v>303</v>
      </c>
      <c r="I258" s="5" t="str">
        <f t="shared" si="21"/>
        <v>m1_trf_5569878a</v>
      </c>
      <c r="J258" t="s">
        <v>291</v>
      </c>
      <c r="K258" t="s">
        <v>292</v>
      </c>
      <c r="L258" s="13" t="str">
        <f t="shared" si="22"/>
        <v>82055955569878</v>
      </c>
      <c r="M258" t="s">
        <v>293</v>
      </c>
      <c r="N258" t="s">
        <v>294</v>
      </c>
      <c r="O258" t="s">
        <v>295</v>
      </c>
      <c r="P258" t="s">
        <v>304</v>
      </c>
      <c r="Q258" t="s">
        <v>297</v>
      </c>
      <c r="R258" t="s">
        <v>298</v>
      </c>
      <c r="S258" s="5">
        <f t="shared" si="23"/>
        <v>24.633046971178899</v>
      </c>
      <c r="T258" t="s">
        <v>299</v>
      </c>
      <c r="U258" s="5">
        <f t="shared" si="24"/>
        <v>11.277723095852201</v>
      </c>
      <c r="V258" t="s">
        <v>448</v>
      </c>
      <c r="W258" t="s">
        <v>300</v>
      </c>
      <c r="X258" t="s">
        <v>301</v>
      </c>
      <c r="Y258" t="s">
        <v>302</v>
      </c>
    </row>
    <row r="259" spans="1:25" x14ac:dyDescent="0.25">
      <c r="A259" t="s">
        <v>419</v>
      </c>
      <c r="B259">
        <v>8.4818872843592601</v>
      </c>
      <c r="C259">
        <v>4.0796486405064796</v>
      </c>
      <c r="D259" s="11" t="s">
        <v>259</v>
      </c>
      <c r="F259" s="8" t="str">
        <f t="shared" si="20"/>
        <v>New "Load.m1_trf_5555964a" bus1="90305705555964.1.2.3.4" phases=3 conn=Wye model=2 kv=0.380 kw=8,48188728435926 kvar=4,07964864050648 daily="CURVA" status=variable vmaxpu=1.5 vminpu=0.92</v>
      </c>
      <c r="G259" t="s">
        <v>290</v>
      </c>
      <c r="H259" t="s">
        <v>303</v>
      </c>
      <c r="I259" s="5" t="str">
        <f t="shared" si="21"/>
        <v>m1_trf_5555964a</v>
      </c>
      <c r="J259" t="s">
        <v>291</v>
      </c>
      <c r="K259" t="s">
        <v>292</v>
      </c>
      <c r="L259" s="13" t="str">
        <f t="shared" si="22"/>
        <v>90305705555964</v>
      </c>
      <c r="M259" t="s">
        <v>293</v>
      </c>
      <c r="N259" t="s">
        <v>294</v>
      </c>
      <c r="O259" t="s">
        <v>295</v>
      </c>
      <c r="P259" t="s">
        <v>304</v>
      </c>
      <c r="Q259" t="s">
        <v>297</v>
      </c>
      <c r="R259" t="s">
        <v>298</v>
      </c>
      <c r="S259" s="5">
        <f t="shared" si="23"/>
        <v>8.4818872843592601</v>
      </c>
      <c r="T259" t="s">
        <v>299</v>
      </c>
      <c r="U259" s="5">
        <f t="shared" si="24"/>
        <v>4.0796486405064796</v>
      </c>
      <c r="V259" t="s">
        <v>448</v>
      </c>
      <c r="W259" t="s">
        <v>300</v>
      </c>
      <c r="X259" t="s">
        <v>301</v>
      </c>
      <c r="Y259" t="s">
        <v>302</v>
      </c>
    </row>
    <row r="260" spans="1:25" x14ac:dyDescent="0.25">
      <c r="A260" t="s">
        <v>420</v>
      </c>
      <c r="B260">
        <v>26.872614952094199</v>
      </c>
      <c r="C260">
        <v>12.4642649821488</v>
      </c>
      <c r="D260" s="11" t="s">
        <v>260</v>
      </c>
      <c r="F260" s="8" t="str">
        <f t="shared" si="20"/>
        <v>New "Load.m1_trf_5557353a" bus1="82044325557353.1.2.3.4" phases=3 conn=Wye model=2 kv=0.380 kw=26,8726149520942 kvar=12,4642649821488 daily="CURVA" status=variable vmaxpu=1.5 vminpu=0.92</v>
      </c>
      <c r="G260" t="s">
        <v>290</v>
      </c>
      <c r="H260" t="s">
        <v>303</v>
      </c>
      <c r="I260" s="5" t="str">
        <f t="shared" si="21"/>
        <v>m1_trf_5557353a</v>
      </c>
      <c r="J260" t="s">
        <v>291</v>
      </c>
      <c r="K260" t="s">
        <v>292</v>
      </c>
      <c r="L260" s="13" t="str">
        <f t="shared" si="22"/>
        <v>82044325557353</v>
      </c>
      <c r="M260" t="s">
        <v>293</v>
      </c>
      <c r="N260" t="s">
        <v>294</v>
      </c>
      <c r="O260" t="s">
        <v>295</v>
      </c>
      <c r="P260" t="s">
        <v>304</v>
      </c>
      <c r="Q260" t="s">
        <v>297</v>
      </c>
      <c r="R260" t="s">
        <v>298</v>
      </c>
      <c r="S260" s="5">
        <f t="shared" si="23"/>
        <v>26.872614952094199</v>
      </c>
      <c r="T260" t="s">
        <v>299</v>
      </c>
      <c r="U260" s="5">
        <f t="shared" si="24"/>
        <v>12.4642649821488</v>
      </c>
      <c r="V260" t="s">
        <v>448</v>
      </c>
      <c r="W260" t="s">
        <v>300</v>
      </c>
      <c r="X260" t="s">
        <v>301</v>
      </c>
      <c r="Y260" t="s">
        <v>302</v>
      </c>
    </row>
    <row r="261" spans="1:25" x14ac:dyDescent="0.25">
      <c r="A261" t="s">
        <v>421</v>
      </c>
      <c r="B261">
        <v>18.2290256590952</v>
      </c>
      <c r="C261">
        <v>8.4320478173438396</v>
      </c>
      <c r="D261" s="11" t="s">
        <v>261</v>
      </c>
      <c r="F261" s="8" t="str">
        <f t="shared" si="20"/>
        <v>New "Load.m1_trf_5558213a" bus1="90349975558213.1.2.3.4" phases=3 conn=Wye model=2 kv=0.380 kw=18,2290256590952 kvar=8,43204781734384 daily="CURVA" status=variable vmaxpu=1.5 vminpu=0.92</v>
      </c>
      <c r="G261" t="s">
        <v>290</v>
      </c>
      <c r="H261" t="s">
        <v>303</v>
      </c>
      <c r="I261" s="5" t="str">
        <f t="shared" si="21"/>
        <v>m1_trf_5558213a</v>
      </c>
      <c r="J261" t="s">
        <v>291</v>
      </c>
      <c r="K261" t="s">
        <v>292</v>
      </c>
      <c r="L261" s="13" t="str">
        <f t="shared" si="22"/>
        <v>90349975558213</v>
      </c>
      <c r="M261" t="s">
        <v>293</v>
      </c>
      <c r="N261" t="s">
        <v>294</v>
      </c>
      <c r="O261" t="s">
        <v>295</v>
      </c>
      <c r="P261" t="s">
        <v>304</v>
      </c>
      <c r="Q261" t="s">
        <v>297</v>
      </c>
      <c r="R261" t="s">
        <v>298</v>
      </c>
      <c r="S261" s="5">
        <f t="shared" si="23"/>
        <v>18.2290256590952</v>
      </c>
      <c r="T261" t="s">
        <v>299</v>
      </c>
      <c r="U261" s="5">
        <f t="shared" si="24"/>
        <v>8.4320478173438396</v>
      </c>
      <c r="V261" t="s">
        <v>448</v>
      </c>
      <c r="W261" t="s">
        <v>300</v>
      </c>
      <c r="X261" t="s">
        <v>301</v>
      </c>
      <c r="Y261" t="s">
        <v>302</v>
      </c>
    </row>
    <row r="262" spans="1:25" x14ac:dyDescent="0.25">
      <c r="A262" t="s">
        <v>422</v>
      </c>
      <c r="B262">
        <v>20.8314221710007</v>
      </c>
      <c r="C262">
        <v>9.6606080167626107</v>
      </c>
      <c r="D262" s="11" t="s">
        <v>262</v>
      </c>
      <c r="F262" s="8" t="str">
        <f t="shared" si="20"/>
        <v>New "Load.m1_trf_5560489a" bus1="90409505560489.1.2.3.4" phases=3 conn=Wye model=2 kv=0.380 kw=20,8314221710007 kvar=9,66060801676261 daily="CURVA" status=variable vmaxpu=1.5 vminpu=0.92</v>
      </c>
      <c r="G262" t="s">
        <v>290</v>
      </c>
      <c r="H262" t="s">
        <v>303</v>
      </c>
      <c r="I262" s="5" t="str">
        <f t="shared" si="21"/>
        <v>m1_trf_5560489a</v>
      </c>
      <c r="J262" t="s">
        <v>291</v>
      </c>
      <c r="K262" t="s">
        <v>292</v>
      </c>
      <c r="L262" s="13" t="str">
        <f t="shared" si="22"/>
        <v>90409505560489</v>
      </c>
      <c r="M262" t="s">
        <v>293</v>
      </c>
      <c r="N262" t="s">
        <v>294</v>
      </c>
      <c r="O262" t="s">
        <v>295</v>
      </c>
      <c r="P262" t="s">
        <v>304</v>
      </c>
      <c r="Q262" t="s">
        <v>297</v>
      </c>
      <c r="R262" t="s">
        <v>298</v>
      </c>
      <c r="S262" s="5">
        <f t="shared" si="23"/>
        <v>20.8314221710007</v>
      </c>
      <c r="T262" t="s">
        <v>299</v>
      </c>
      <c r="U262" s="5">
        <f t="shared" si="24"/>
        <v>9.6606080167626107</v>
      </c>
      <c r="V262" t="s">
        <v>448</v>
      </c>
      <c r="W262" t="s">
        <v>300</v>
      </c>
      <c r="X262" t="s">
        <v>301</v>
      </c>
      <c r="Y262" t="s">
        <v>302</v>
      </c>
    </row>
    <row r="263" spans="1:25" x14ac:dyDescent="0.25">
      <c r="A263" t="s">
        <v>423</v>
      </c>
      <c r="B263">
        <v>22.002465577340701</v>
      </c>
      <c r="C263">
        <v>10.1298795780137</v>
      </c>
      <c r="D263" s="11" t="s">
        <v>263</v>
      </c>
      <c r="F263" s="8" t="str">
        <f t="shared" si="20"/>
        <v>New "Load.m1_trf_5574596a" bus1="82031945574596.1.2.3.4" phases=3 conn=Wye model=2 kv=0.380 kw=22,0024655773407 kvar=10,1298795780137 daily="CURVA" status=variable vmaxpu=1.5 vminpu=0.92</v>
      </c>
      <c r="G263" t="s">
        <v>290</v>
      </c>
      <c r="H263" t="s">
        <v>303</v>
      </c>
      <c r="I263" s="5" t="str">
        <f t="shared" si="21"/>
        <v>m1_trf_5574596a</v>
      </c>
      <c r="J263" t="s">
        <v>291</v>
      </c>
      <c r="K263" t="s">
        <v>292</v>
      </c>
      <c r="L263" s="13" t="str">
        <f t="shared" si="22"/>
        <v>82031945574596</v>
      </c>
      <c r="M263" t="s">
        <v>293</v>
      </c>
      <c r="N263" t="s">
        <v>294</v>
      </c>
      <c r="O263" t="s">
        <v>295</v>
      </c>
      <c r="P263" t="s">
        <v>304</v>
      </c>
      <c r="Q263" t="s">
        <v>297</v>
      </c>
      <c r="R263" t="s">
        <v>298</v>
      </c>
      <c r="S263" s="5">
        <f t="shared" si="23"/>
        <v>22.002465577340701</v>
      </c>
      <c r="T263" t="s">
        <v>299</v>
      </c>
      <c r="U263" s="5">
        <f t="shared" si="24"/>
        <v>10.1298795780137</v>
      </c>
      <c r="V263" t="s">
        <v>448</v>
      </c>
      <c r="W263" t="s">
        <v>300</v>
      </c>
      <c r="X263" t="s">
        <v>301</v>
      </c>
      <c r="Y263" t="s">
        <v>302</v>
      </c>
    </row>
    <row r="264" spans="1:25" x14ac:dyDescent="0.25">
      <c r="A264" t="s">
        <v>424</v>
      </c>
      <c r="B264">
        <v>18.0223140622671</v>
      </c>
      <c r="C264">
        <v>8.29973131848846</v>
      </c>
      <c r="D264" s="11" t="s">
        <v>264</v>
      </c>
      <c r="F264" s="8" t="str">
        <f t="shared" si="20"/>
        <v>New "Load.m1_trf_5577671a" bus1="90938795577671.1.2.3.4" phases=3 conn=Wye model=2 kv=0.380 kw=18,0223140622671 kvar=8,29973131848846 daily="CURVA" status=variable vmaxpu=1.5 vminpu=0.92</v>
      </c>
      <c r="G264" t="s">
        <v>290</v>
      </c>
      <c r="H264" t="s">
        <v>303</v>
      </c>
      <c r="I264" s="5" t="str">
        <f t="shared" si="21"/>
        <v>m1_trf_5577671a</v>
      </c>
      <c r="J264" t="s">
        <v>291</v>
      </c>
      <c r="K264" t="s">
        <v>292</v>
      </c>
      <c r="L264" s="13" t="str">
        <f t="shared" si="22"/>
        <v>90938795577671</v>
      </c>
      <c r="M264" t="s">
        <v>293</v>
      </c>
      <c r="N264" t="s">
        <v>294</v>
      </c>
      <c r="O264" t="s">
        <v>295</v>
      </c>
      <c r="P264" t="s">
        <v>304</v>
      </c>
      <c r="Q264" t="s">
        <v>297</v>
      </c>
      <c r="R264" t="s">
        <v>298</v>
      </c>
      <c r="S264" s="5">
        <f t="shared" si="23"/>
        <v>18.0223140622671</v>
      </c>
      <c r="T264" t="s">
        <v>299</v>
      </c>
      <c r="U264" s="5">
        <f t="shared" si="24"/>
        <v>8.29973131848846</v>
      </c>
      <c r="V264" t="s">
        <v>448</v>
      </c>
      <c r="W264" t="s">
        <v>300</v>
      </c>
      <c r="X264" t="s">
        <v>301</v>
      </c>
      <c r="Y264" t="s">
        <v>302</v>
      </c>
    </row>
    <row r="265" spans="1:25" x14ac:dyDescent="0.25">
      <c r="A265" t="s">
        <v>425</v>
      </c>
      <c r="B265">
        <v>11.223482515399301</v>
      </c>
      <c r="C265">
        <v>5.1712044252878204</v>
      </c>
      <c r="D265" s="11" t="s">
        <v>265</v>
      </c>
      <c r="F265" s="8" t="str">
        <f t="shared" si="20"/>
        <v>New "Load.m1_trf_5286947a" bus1="82040855286947.1.2.3.4" phases=3 conn=Wye model=2 kv=0.380 kw=11,2234825153993 kvar=5,17120442528782 daily="CURVA" status=variable vmaxpu=1.5 vminpu=0.92</v>
      </c>
      <c r="G265" t="s">
        <v>290</v>
      </c>
      <c r="H265" t="s">
        <v>303</v>
      </c>
      <c r="I265" s="5" t="str">
        <f t="shared" si="21"/>
        <v>m1_trf_5286947a</v>
      </c>
      <c r="J265" t="s">
        <v>291</v>
      </c>
      <c r="K265" t="s">
        <v>292</v>
      </c>
      <c r="L265" s="13" t="str">
        <f t="shared" si="22"/>
        <v>82040855286947</v>
      </c>
      <c r="M265" t="s">
        <v>293</v>
      </c>
      <c r="N265" t="s">
        <v>294</v>
      </c>
      <c r="O265" t="s">
        <v>295</v>
      </c>
      <c r="P265" t="s">
        <v>304</v>
      </c>
      <c r="Q265" t="s">
        <v>297</v>
      </c>
      <c r="R265" t="s">
        <v>298</v>
      </c>
      <c r="S265" s="5">
        <f t="shared" si="23"/>
        <v>11.223482515399301</v>
      </c>
      <c r="T265" t="s">
        <v>299</v>
      </c>
      <c r="U265" s="5">
        <f t="shared" si="24"/>
        <v>5.1712044252878204</v>
      </c>
      <c r="V265" t="s">
        <v>448</v>
      </c>
      <c r="W265" t="s">
        <v>300</v>
      </c>
      <c r="X265" t="s">
        <v>301</v>
      </c>
      <c r="Y265" t="s">
        <v>302</v>
      </c>
    </row>
    <row r="266" spans="1:25" x14ac:dyDescent="0.25">
      <c r="A266" t="s">
        <v>426</v>
      </c>
      <c r="B266">
        <v>33.188011382857603</v>
      </c>
      <c r="C266">
        <v>15.3227640105302</v>
      </c>
      <c r="D266" s="11" t="s">
        <v>266</v>
      </c>
      <c r="F266" s="8" t="str">
        <f t="shared" si="20"/>
        <v>New "Load.m1_trf_5286958a" bus1="82031405286958.1.2.3.4" phases=3 conn=Wye model=2 kv=0.380 kw=33,1880113828576 kvar=15,3227640105302 daily="CURVA" status=variable vmaxpu=1.5 vminpu=0.92</v>
      </c>
      <c r="G266" t="s">
        <v>290</v>
      </c>
      <c r="H266" t="s">
        <v>303</v>
      </c>
      <c r="I266" s="5" t="str">
        <f t="shared" si="21"/>
        <v>m1_trf_5286958a</v>
      </c>
      <c r="J266" t="s">
        <v>291</v>
      </c>
      <c r="K266" t="s">
        <v>292</v>
      </c>
      <c r="L266" s="13" t="str">
        <f t="shared" si="22"/>
        <v>82031405286958</v>
      </c>
      <c r="M266" t="s">
        <v>293</v>
      </c>
      <c r="N266" t="s">
        <v>294</v>
      </c>
      <c r="O266" t="s">
        <v>295</v>
      </c>
      <c r="P266" t="s">
        <v>304</v>
      </c>
      <c r="Q266" t="s">
        <v>297</v>
      </c>
      <c r="R266" t="s">
        <v>298</v>
      </c>
      <c r="S266" s="5">
        <f t="shared" si="23"/>
        <v>33.188011382857603</v>
      </c>
      <c r="T266" t="s">
        <v>299</v>
      </c>
      <c r="U266" s="5">
        <f t="shared" si="24"/>
        <v>15.3227640105302</v>
      </c>
      <c r="V266" t="s">
        <v>448</v>
      </c>
      <c r="W266" t="s">
        <v>300</v>
      </c>
      <c r="X266" t="s">
        <v>301</v>
      </c>
      <c r="Y266" t="s">
        <v>302</v>
      </c>
    </row>
    <row r="267" spans="1:25" x14ac:dyDescent="0.25">
      <c r="A267" t="s">
        <v>427</v>
      </c>
      <c r="B267">
        <v>41.5460791406569</v>
      </c>
      <c r="C267">
        <v>19.455156534743502</v>
      </c>
      <c r="D267" s="11" t="s">
        <v>267</v>
      </c>
      <c r="F267" s="8" t="str">
        <f t="shared" si="20"/>
        <v>New "Load.m1_trf_5286959a" bus1="82031445286959.1.2.3.4" phases=3 conn=Wye model=2 kv=0.380 kw=41,5460791406569 kvar=19,4551565347435 daily="CURVA" status=variable vmaxpu=1.5 vminpu=0.92</v>
      </c>
      <c r="G267" t="s">
        <v>290</v>
      </c>
      <c r="H267" t="s">
        <v>303</v>
      </c>
      <c r="I267" s="5" t="str">
        <f t="shared" si="21"/>
        <v>m1_trf_5286959a</v>
      </c>
      <c r="J267" t="s">
        <v>291</v>
      </c>
      <c r="K267" t="s">
        <v>292</v>
      </c>
      <c r="L267" s="13" t="str">
        <f t="shared" si="22"/>
        <v>82031445286959</v>
      </c>
      <c r="M267" t="s">
        <v>293</v>
      </c>
      <c r="N267" t="s">
        <v>294</v>
      </c>
      <c r="O267" t="s">
        <v>295</v>
      </c>
      <c r="P267" t="s">
        <v>304</v>
      </c>
      <c r="Q267" t="s">
        <v>297</v>
      </c>
      <c r="R267" t="s">
        <v>298</v>
      </c>
      <c r="S267" s="5">
        <f t="shared" si="23"/>
        <v>41.5460791406569</v>
      </c>
      <c r="T267" t="s">
        <v>299</v>
      </c>
      <c r="U267" s="5">
        <f t="shared" si="24"/>
        <v>19.455156534743502</v>
      </c>
      <c r="V267" t="s">
        <v>448</v>
      </c>
      <c r="W267" t="s">
        <v>300</v>
      </c>
      <c r="X267" t="s">
        <v>301</v>
      </c>
      <c r="Y267" t="s">
        <v>302</v>
      </c>
    </row>
    <row r="268" spans="1:25" x14ac:dyDescent="0.25">
      <c r="A268" t="s">
        <v>428</v>
      </c>
      <c r="B268">
        <v>29.898006439678401</v>
      </c>
      <c r="C268">
        <v>13.565551822637101</v>
      </c>
      <c r="D268" s="11" t="s">
        <v>268</v>
      </c>
      <c r="F268" s="8" t="str">
        <f t="shared" si="20"/>
        <v>New "Load.m1_trf_5286960a" bus1="82033945286960.1.2.3.4" phases=3 conn=Wye model=2 kv=0.380 kw=29,8980064396784 kvar=13,5655518226371 daily="CURVA" status=variable vmaxpu=1.5 vminpu=0.92</v>
      </c>
      <c r="G268" t="s">
        <v>290</v>
      </c>
      <c r="H268" t="s">
        <v>303</v>
      </c>
      <c r="I268" s="5" t="str">
        <f t="shared" si="21"/>
        <v>m1_trf_5286960a</v>
      </c>
      <c r="J268" t="s">
        <v>291</v>
      </c>
      <c r="K268" t="s">
        <v>292</v>
      </c>
      <c r="L268" s="13" t="str">
        <f t="shared" si="22"/>
        <v>82033945286960</v>
      </c>
      <c r="M268" t="s">
        <v>293</v>
      </c>
      <c r="N268" t="s">
        <v>294</v>
      </c>
      <c r="O268" t="s">
        <v>295</v>
      </c>
      <c r="P268" t="s">
        <v>304</v>
      </c>
      <c r="Q268" t="s">
        <v>297</v>
      </c>
      <c r="R268" t="s">
        <v>298</v>
      </c>
      <c r="S268" s="5">
        <f t="shared" si="23"/>
        <v>29.898006439678401</v>
      </c>
      <c r="T268" t="s">
        <v>299</v>
      </c>
      <c r="U268" s="5">
        <f t="shared" si="24"/>
        <v>13.565551822637101</v>
      </c>
      <c r="V268" t="s">
        <v>448</v>
      </c>
      <c r="W268" t="s">
        <v>300</v>
      </c>
      <c r="X268" t="s">
        <v>301</v>
      </c>
      <c r="Y268" t="s">
        <v>302</v>
      </c>
    </row>
    <row r="269" spans="1:25" x14ac:dyDescent="0.25">
      <c r="A269" t="s">
        <v>429</v>
      </c>
      <c r="B269">
        <v>43.5635957756759</v>
      </c>
      <c r="C269">
        <v>20.1444362532852</v>
      </c>
      <c r="D269" s="11" t="s">
        <v>269</v>
      </c>
      <c r="F269" s="8" t="str">
        <f t="shared" si="20"/>
        <v>New "Load.m1_trf_5286961a" bus1="97400945286961.1.2.3.4" phases=3 conn=Wye model=2 kv=0.380 kw=43,5635957756759 kvar=20,1444362532852 daily="CURVA" status=variable vmaxpu=1.5 vminpu=0.92</v>
      </c>
      <c r="G269" t="s">
        <v>290</v>
      </c>
      <c r="H269" t="s">
        <v>303</v>
      </c>
      <c r="I269" s="5" t="str">
        <f t="shared" si="21"/>
        <v>m1_trf_5286961a</v>
      </c>
      <c r="J269" t="s">
        <v>291</v>
      </c>
      <c r="K269" t="s">
        <v>292</v>
      </c>
      <c r="L269" s="13" t="str">
        <f t="shared" si="22"/>
        <v>97400945286961</v>
      </c>
      <c r="M269" t="s">
        <v>293</v>
      </c>
      <c r="N269" t="s">
        <v>294</v>
      </c>
      <c r="O269" t="s">
        <v>295</v>
      </c>
      <c r="P269" t="s">
        <v>304</v>
      </c>
      <c r="Q269" t="s">
        <v>297</v>
      </c>
      <c r="R269" t="s">
        <v>298</v>
      </c>
      <c r="S269" s="5">
        <f t="shared" si="23"/>
        <v>43.5635957756759</v>
      </c>
      <c r="T269" t="s">
        <v>299</v>
      </c>
      <c r="U269" s="5">
        <f t="shared" si="24"/>
        <v>20.1444362532852</v>
      </c>
      <c r="V269" t="s">
        <v>448</v>
      </c>
      <c r="W269" t="s">
        <v>300</v>
      </c>
      <c r="X269" t="s">
        <v>301</v>
      </c>
      <c r="Y269" t="s">
        <v>302</v>
      </c>
    </row>
    <row r="270" spans="1:25" x14ac:dyDescent="0.25">
      <c r="A270" t="s">
        <v>430</v>
      </c>
      <c r="B270">
        <v>14.9098489093612</v>
      </c>
      <c r="C270">
        <v>6.89683272712145</v>
      </c>
      <c r="D270" s="11" t="s">
        <v>270</v>
      </c>
      <c r="F270" s="8" t="str">
        <f t="shared" si="20"/>
        <v>New "Load.m1_trf_5286962a" bus1="82034445286962.1.2.3.4" phases=3 conn=Wye model=2 kv=0.380 kw=14,9098489093612 kvar=6,89683272712145 daily="CURVA" status=variable vmaxpu=1.5 vminpu=0.92</v>
      </c>
      <c r="G270" t="s">
        <v>290</v>
      </c>
      <c r="H270" t="s">
        <v>303</v>
      </c>
      <c r="I270" s="5" t="str">
        <f t="shared" si="21"/>
        <v>m1_trf_5286962a</v>
      </c>
      <c r="J270" t="s">
        <v>291</v>
      </c>
      <c r="K270" t="s">
        <v>292</v>
      </c>
      <c r="L270" s="13" t="str">
        <f t="shared" si="22"/>
        <v>82034445286962</v>
      </c>
      <c r="M270" t="s">
        <v>293</v>
      </c>
      <c r="N270" t="s">
        <v>294</v>
      </c>
      <c r="O270" t="s">
        <v>295</v>
      </c>
      <c r="P270" t="s">
        <v>304</v>
      </c>
      <c r="Q270" t="s">
        <v>297</v>
      </c>
      <c r="R270" t="s">
        <v>298</v>
      </c>
      <c r="S270" s="5">
        <f t="shared" si="23"/>
        <v>14.9098489093612</v>
      </c>
      <c r="T270" t="s">
        <v>299</v>
      </c>
      <c r="U270" s="5">
        <f t="shared" si="24"/>
        <v>6.89683272712145</v>
      </c>
      <c r="V270" t="s">
        <v>448</v>
      </c>
      <c r="W270" t="s">
        <v>300</v>
      </c>
      <c r="X270" t="s">
        <v>301</v>
      </c>
      <c r="Y270" t="s">
        <v>302</v>
      </c>
    </row>
    <row r="271" spans="1:25" x14ac:dyDescent="0.25">
      <c r="A271" t="s">
        <v>431</v>
      </c>
      <c r="B271">
        <v>19.7475179667586</v>
      </c>
      <c r="C271">
        <v>9.0856938154591305</v>
      </c>
      <c r="D271" s="11" t="s">
        <v>271</v>
      </c>
      <c r="F271" s="8" t="str">
        <f t="shared" si="20"/>
        <v>New "Load.m1_trf_5286963a" bus1="82035255286963.1.2.3.4" phases=3 conn=Wye model=2 kv=0.380 kw=19,7475179667586 kvar=9,08569381545913 daily="CURVA" status=variable vmaxpu=1.5 vminpu=0.92</v>
      </c>
      <c r="G271" t="s">
        <v>290</v>
      </c>
      <c r="H271" t="s">
        <v>303</v>
      </c>
      <c r="I271" s="5" t="str">
        <f t="shared" si="21"/>
        <v>m1_trf_5286963a</v>
      </c>
      <c r="J271" t="s">
        <v>291</v>
      </c>
      <c r="K271" t="s">
        <v>292</v>
      </c>
      <c r="L271" s="13" t="str">
        <f t="shared" si="22"/>
        <v>82035255286963</v>
      </c>
      <c r="M271" t="s">
        <v>293</v>
      </c>
      <c r="N271" t="s">
        <v>294</v>
      </c>
      <c r="O271" t="s">
        <v>295</v>
      </c>
      <c r="P271" t="s">
        <v>304</v>
      </c>
      <c r="Q271" t="s">
        <v>297</v>
      </c>
      <c r="R271" t="s">
        <v>298</v>
      </c>
      <c r="S271" s="5">
        <f t="shared" si="23"/>
        <v>19.7475179667586</v>
      </c>
      <c r="T271" t="s">
        <v>299</v>
      </c>
      <c r="U271" s="5">
        <f t="shared" si="24"/>
        <v>9.0856938154591305</v>
      </c>
      <c r="V271" t="s">
        <v>448</v>
      </c>
      <c r="W271" t="s">
        <v>300</v>
      </c>
      <c r="X271" t="s">
        <v>301</v>
      </c>
      <c r="Y271" t="s">
        <v>302</v>
      </c>
    </row>
    <row r="272" spans="1:25" x14ac:dyDescent="0.25">
      <c r="A272" t="s">
        <v>432</v>
      </c>
      <c r="B272">
        <v>69.143340644838801</v>
      </c>
      <c r="C272">
        <v>32.6602661569164</v>
      </c>
      <c r="D272" s="11" t="s">
        <v>272</v>
      </c>
      <c r="F272" s="8" t="str">
        <f t="shared" si="20"/>
        <v>New "Load.m1_trf_5286964a" bus1="82036275286964.1.2.3.4" phases=3 conn=Wye model=2 kv=0.380 kw=69,1433406448388 kvar=32,6602661569164 daily="CURVA" status=variable vmaxpu=1.5 vminpu=0.92</v>
      </c>
      <c r="G272" t="s">
        <v>290</v>
      </c>
      <c r="H272" t="s">
        <v>303</v>
      </c>
      <c r="I272" s="5" t="str">
        <f t="shared" si="21"/>
        <v>m1_trf_5286964a</v>
      </c>
      <c r="J272" t="s">
        <v>291</v>
      </c>
      <c r="K272" t="s">
        <v>292</v>
      </c>
      <c r="L272" s="13" t="str">
        <f t="shared" si="22"/>
        <v>82036275286964</v>
      </c>
      <c r="M272" t="s">
        <v>293</v>
      </c>
      <c r="N272" t="s">
        <v>294</v>
      </c>
      <c r="O272" t="s">
        <v>295</v>
      </c>
      <c r="P272" t="s">
        <v>304</v>
      </c>
      <c r="Q272" t="s">
        <v>297</v>
      </c>
      <c r="R272" t="s">
        <v>298</v>
      </c>
      <c r="S272" s="5">
        <f t="shared" si="23"/>
        <v>69.143340644838801</v>
      </c>
      <c r="T272" t="s">
        <v>299</v>
      </c>
      <c r="U272" s="5">
        <f t="shared" si="24"/>
        <v>32.6602661569164</v>
      </c>
      <c r="V272" t="s">
        <v>448</v>
      </c>
      <c r="W272" t="s">
        <v>300</v>
      </c>
      <c r="X272" t="s">
        <v>301</v>
      </c>
      <c r="Y272" t="s">
        <v>302</v>
      </c>
    </row>
    <row r="273" spans="1:25" x14ac:dyDescent="0.25">
      <c r="A273" t="s">
        <v>433</v>
      </c>
      <c r="B273">
        <v>34.889755615896902</v>
      </c>
      <c r="C273">
        <v>16.240674221104999</v>
      </c>
      <c r="D273" s="11" t="s">
        <v>273</v>
      </c>
      <c r="F273" s="8" t="str">
        <f t="shared" ref="F273:F307" si="25">_xlfn.CONCAT(G273:Y273)</f>
        <v>New "Load.m1_trf_5286965a" bus1="82035485286965.1.2.3.4" phases=3 conn=Wye model=2 kv=0.380 kw=34,8897556158969 kvar=16,240674221105 daily="CURVA" status=variable vmaxpu=1.5 vminpu=0.92</v>
      </c>
      <c r="G273" t="s">
        <v>290</v>
      </c>
      <c r="H273" t="s">
        <v>303</v>
      </c>
      <c r="I273" s="5" t="str">
        <f t="shared" si="21"/>
        <v>m1_trf_5286965a</v>
      </c>
      <c r="J273" t="s">
        <v>291</v>
      </c>
      <c r="K273" t="s">
        <v>292</v>
      </c>
      <c r="L273" s="13" t="str">
        <f t="shared" si="22"/>
        <v>82035485286965</v>
      </c>
      <c r="M273" t="s">
        <v>293</v>
      </c>
      <c r="N273" t="s">
        <v>294</v>
      </c>
      <c r="O273" t="s">
        <v>295</v>
      </c>
      <c r="P273" t="s">
        <v>304</v>
      </c>
      <c r="Q273" t="s">
        <v>297</v>
      </c>
      <c r="R273" t="s">
        <v>298</v>
      </c>
      <c r="S273" s="5">
        <f t="shared" si="23"/>
        <v>34.889755615896902</v>
      </c>
      <c r="T273" t="s">
        <v>299</v>
      </c>
      <c r="U273" s="5">
        <f t="shared" si="24"/>
        <v>16.240674221104999</v>
      </c>
      <c r="V273" t="s">
        <v>448</v>
      </c>
      <c r="W273" t="s">
        <v>300</v>
      </c>
      <c r="X273" t="s">
        <v>301</v>
      </c>
      <c r="Y273" t="s">
        <v>302</v>
      </c>
    </row>
    <row r="274" spans="1:25" x14ac:dyDescent="0.25">
      <c r="A274" t="s">
        <v>434</v>
      </c>
      <c r="B274">
        <v>30.9263391707713</v>
      </c>
      <c r="C274">
        <v>14.4166432419043</v>
      </c>
      <c r="D274" s="11" t="s">
        <v>274</v>
      </c>
      <c r="F274" s="8" t="str">
        <f t="shared" si="25"/>
        <v>New "Load.m1_trf_5286966a" bus1="82036045286966.1.2.3.4" phases=3 conn=Wye model=2 kv=0.380 kw=30,9263391707713 kvar=14,4166432419043 daily="CURVA" status=variable vmaxpu=1.5 vminpu=0.92</v>
      </c>
      <c r="G274" t="s">
        <v>290</v>
      </c>
      <c r="H274" t="s">
        <v>303</v>
      </c>
      <c r="I274" s="5" t="str">
        <f t="shared" ref="I274:I307" si="26">A274</f>
        <v>m1_trf_5286966a</v>
      </c>
      <c r="J274" t="s">
        <v>291</v>
      </c>
      <c r="K274" t="s">
        <v>292</v>
      </c>
      <c r="L274" s="13" t="str">
        <f t="shared" ref="L274:L307" si="27">D274</f>
        <v>82036045286966</v>
      </c>
      <c r="M274" t="s">
        <v>293</v>
      </c>
      <c r="N274" t="s">
        <v>294</v>
      </c>
      <c r="O274" t="s">
        <v>295</v>
      </c>
      <c r="P274" t="s">
        <v>304</v>
      </c>
      <c r="Q274" t="s">
        <v>297</v>
      </c>
      <c r="R274" t="s">
        <v>298</v>
      </c>
      <c r="S274" s="5">
        <f t="shared" ref="S274:S307" si="28">B274</f>
        <v>30.9263391707713</v>
      </c>
      <c r="T274" t="s">
        <v>299</v>
      </c>
      <c r="U274" s="5">
        <f t="shared" ref="U274:U307" si="29">C274</f>
        <v>14.4166432419043</v>
      </c>
      <c r="V274" t="s">
        <v>448</v>
      </c>
      <c r="W274" t="s">
        <v>300</v>
      </c>
      <c r="X274" t="s">
        <v>301</v>
      </c>
      <c r="Y274" t="s">
        <v>302</v>
      </c>
    </row>
    <row r="275" spans="1:25" x14ac:dyDescent="0.25">
      <c r="A275" t="s">
        <v>435</v>
      </c>
      <c r="B275">
        <v>11.098986425552701</v>
      </c>
      <c r="C275">
        <v>5.1055297506135302</v>
      </c>
      <c r="D275" s="11" t="s">
        <v>275</v>
      </c>
      <c r="F275" s="8" t="str">
        <f t="shared" si="25"/>
        <v>New "Load.m1_trf_5286967a" bus1="82029725286967.1.2.3.4" phases=3 conn=Wye model=2 kv=0.380 kw=11,0989864255527 kvar=5,10552975061353 daily="CURVA" status=variable vmaxpu=1.5 vminpu=0.92</v>
      </c>
      <c r="G275" t="s">
        <v>290</v>
      </c>
      <c r="H275" t="s">
        <v>303</v>
      </c>
      <c r="I275" s="5" t="str">
        <f t="shared" si="26"/>
        <v>m1_trf_5286967a</v>
      </c>
      <c r="J275" t="s">
        <v>291</v>
      </c>
      <c r="K275" t="s">
        <v>292</v>
      </c>
      <c r="L275" s="13" t="str">
        <f t="shared" si="27"/>
        <v>82029725286967</v>
      </c>
      <c r="M275" t="s">
        <v>293</v>
      </c>
      <c r="N275" t="s">
        <v>294</v>
      </c>
      <c r="O275" t="s">
        <v>295</v>
      </c>
      <c r="P275" t="s">
        <v>304</v>
      </c>
      <c r="Q275" t="s">
        <v>297</v>
      </c>
      <c r="R275" t="s">
        <v>298</v>
      </c>
      <c r="S275" s="5">
        <f t="shared" si="28"/>
        <v>11.098986425552701</v>
      </c>
      <c r="T275" t="s">
        <v>299</v>
      </c>
      <c r="U275" s="5">
        <f t="shared" si="29"/>
        <v>5.1055297506135302</v>
      </c>
      <c r="V275" t="s">
        <v>448</v>
      </c>
      <c r="W275" t="s">
        <v>300</v>
      </c>
      <c r="X275" t="s">
        <v>301</v>
      </c>
      <c r="Y275" t="s">
        <v>302</v>
      </c>
    </row>
    <row r="276" spans="1:25" x14ac:dyDescent="0.25">
      <c r="A276" t="s">
        <v>436</v>
      </c>
      <c r="B276">
        <v>0.85231464726463202</v>
      </c>
      <c r="C276">
        <v>0.39804218561927701</v>
      </c>
      <c r="D276" s="11" t="s">
        <v>276</v>
      </c>
      <c r="F276" s="8" t="str">
        <f t="shared" si="25"/>
        <v>New "Load.m1_trf_5647498a" bus1="93119985647498.1.2.3.4" phases=3 conn=Wye model=2 kv=0.380 kw=0,852314647264632 kvar=0,398042185619277 daily="CURVA" status=variable vmaxpu=1.5 vminpu=0.92</v>
      </c>
      <c r="G276" t="s">
        <v>290</v>
      </c>
      <c r="H276" t="s">
        <v>303</v>
      </c>
      <c r="I276" s="5" t="str">
        <f t="shared" si="26"/>
        <v>m1_trf_5647498a</v>
      </c>
      <c r="J276" t="s">
        <v>291</v>
      </c>
      <c r="K276" t="s">
        <v>292</v>
      </c>
      <c r="L276" s="13" t="str">
        <f t="shared" si="27"/>
        <v>93119985647498</v>
      </c>
      <c r="M276" t="s">
        <v>293</v>
      </c>
      <c r="N276" t="s">
        <v>294</v>
      </c>
      <c r="O276" t="s">
        <v>295</v>
      </c>
      <c r="P276" t="s">
        <v>304</v>
      </c>
      <c r="Q276" t="s">
        <v>297</v>
      </c>
      <c r="R276" t="s">
        <v>298</v>
      </c>
      <c r="S276" s="5">
        <f t="shared" si="28"/>
        <v>0.85231464726463202</v>
      </c>
      <c r="T276" t="s">
        <v>299</v>
      </c>
      <c r="U276" s="5">
        <f t="shared" si="29"/>
        <v>0.39804218561927701</v>
      </c>
      <c r="V276" t="s">
        <v>448</v>
      </c>
      <c r="W276" t="s">
        <v>300</v>
      </c>
      <c r="X276" t="s">
        <v>301</v>
      </c>
      <c r="Y276" t="s">
        <v>302</v>
      </c>
    </row>
    <row r="277" spans="1:25" x14ac:dyDescent="0.25">
      <c r="A277" t="s">
        <v>437</v>
      </c>
      <c r="B277">
        <v>16.220613104441199</v>
      </c>
      <c r="C277">
        <v>7.3270117139730502</v>
      </c>
      <c r="D277" s="11" t="s">
        <v>277</v>
      </c>
      <c r="F277" s="8" t="str">
        <f t="shared" si="25"/>
        <v>New "Load.m1_trf_5688575a" bus1="82054155688575.1.2.3.4" phases=3 conn=Wye model=2 kv=0.380 kw=16,2206131044412 kvar=7,32701171397305 daily="CURVA" status=variable vmaxpu=1.5 vminpu=0.92</v>
      </c>
      <c r="G277" t="s">
        <v>290</v>
      </c>
      <c r="H277" t="s">
        <v>303</v>
      </c>
      <c r="I277" s="5" t="str">
        <f t="shared" si="26"/>
        <v>m1_trf_5688575a</v>
      </c>
      <c r="J277" t="s">
        <v>291</v>
      </c>
      <c r="K277" t="s">
        <v>292</v>
      </c>
      <c r="L277" s="13" t="str">
        <f t="shared" si="27"/>
        <v>82054155688575</v>
      </c>
      <c r="M277" t="s">
        <v>293</v>
      </c>
      <c r="N277" t="s">
        <v>294</v>
      </c>
      <c r="O277" t="s">
        <v>295</v>
      </c>
      <c r="P277" t="s">
        <v>304</v>
      </c>
      <c r="Q277" t="s">
        <v>297</v>
      </c>
      <c r="R277" t="s">
        <v>298</v>
      </c>
      <c r="S277" s="5">
        <f t="shared" si="28"/>
        <v>16.220613104441199</v>
      </c>
      <c r="T277" t="s">
        <v>299</v>
      </c>
      <c r="U277" s="5">
        <f t="shared" si="29"/>
        <v>7.3270117139730502</v>
      </c>
      <c r="V277" t="s">
        <v>448</v>
      </c>
      <c r="W277" t="s">
        <v>300</v>
      </c>
      <c r="X277" t="s">
        <v>301</v>
      </c>
      <c r="Y277" t="s">
        <v>302</v>
      </c>
    </row>
    <row r="278" spans="1:25" x14ac:dyDescent="0.25">
      <c r="A278" t="s">
        <v>438</v>
      </c>
      <c r="B278">
        <v>11.813004972118501</v>
      </c>
      <c r="C278">
        <v>5.5066313673186604</v>
      </c>
      <c r="D278" s="11" t="s">
        <v>278</v>
      </c>
      <c r="F278" s="8" t="str">
        <f t="shared" si="25"/>
        <v>New "Load.m1_trf_5675373a" bus1="93945325675373.1.2.3.4" phases=3 conn=Wye model=2 kv=0.380 kw=11,8130049721185 kvar=5,50663136731866 daily="CURVA" status=variable vmaxpu=1.5 vminpu=0.92</v>
      </c>
      <c r="G278" t="s">
        <v>290</v>
      </c>
      <c r="H278" t="s">
        <v>303</v>
      </c>
      <c r="I278" s="5" t="str">
        <f t="shared" si="26"/>
        <v>m1_trf_5675373a</v>
      </c>
      <c r="J278" t="s">
        <v>291</v>
      </c>
      <c r="K278" t="s">
        <v>292</v>
      </c>
      <c r="L278" s="13" t="str">
        <f t="shared" si="27"/>
        <v>93945325675373</v>
      </c>
      <c r="M278" t="s">
        <v>293</v>
      </c>
      <c r="N278" t="s">
        <v>294</v>
      </c>
      <c r="O278" t="s">
        <v>295</v>
      </c>
      <c r="P278" t="s">
        <v>304</v>
      </c>
      <c r="Q278" t="s">
        <v>297</v>
      </c>
      <c r="R278" t="s">
        <v>298</v>
      </c>
      <c r="S278" s="5">
        <f t="shared" si="28"/>
        <v>11.813004972118501</v>
      </c>
      <c r="T278" t="s">
        <v>299</v>
      </c>
      <c r="U278" s="5">
        <f t="shared" si="29"/>
        <v>5.5066313673186604</v>
      </c>
      <c r="V278" t="s">
        <v>448</v>
      </c>
      <c r="W278" t="s">
        <v>300</v>
      </c>
      <c r="X278" t="s">
        <v>301</v>
      </c>
      <c r="Y278" t="s">
        <v>302</v>
      </c>
    </row>
    <row r="279" spans="1:25" x14ac:dyDescent="0.25">
      <c r="A279" t="s">
        <v>439</v>
      </c>
      <c r="B279">
        <v>13.2372308211419</v>
      </c>
      <c r="C279">
        <v>6.1362351454870598</v>
      </c>
      <c r="D279" s="11" t="s">
        <v>279</v>
      </c>
      <c r="F279" s="8" t="str">
        <f t="shared" si="25"/>
        <v>New "Load.m1_trf_5323939a" bus1="84503635323939.1.2.3.4" phases=3 conn=Wye model=2 kv=0.380 kw=13,2372308211419 kvar=6,13623514548706 daily="CURVA" status=variable vmaxpu=1.5 vminpu=0.92</v>
      </c>
      <c r="G279" t="s">
        <v>290</v>
      </c>
      <c r="H279" t="s">
        <v>303</v>
      </c>
      <c r="I279" s="5" t="str">
        <f t="shared" si="26"/>
        <v>m1_trf_5323939a</v>
      </c>
      <c r="J279" t="s">
        <v>291</v>
      </c>
      <c r="K279" t="s">
        <v>292</v>
      </c>
      <c r="L279" s="13" t="str">
        <f t="shared" si="27"/>
        <v>84503635323939</v>
      </c>
      <c r="M279" t="s">
        <v>293</v>
      </c>
      <c r="N279" t="s">
        <v>294</v>
      </c>
      <c r="O279" t="s">
        <v>295</v>
      </c>
      <c r="P279" t="s">
        <v>304</v>
      </c>
      <c r="Q279" t="s">
        <v>297</v>
      </c>
      <c r="R279" t="s">
        <v>298</v>
      </c>
      <c r="S279" s="5">
        <f t="shared" si="28"/>
        <v>13.2372308211419</v>
      </c>
      <c r="T279" t="s">
        <v>299</v>
      </c>
      <c r="U279" s="5">
        <f t="shared" si="29"/>
        <v>6.1362351454870598</v>
      </c>
      <c r="V279" t="s">
        <v>448</v>
      </c>
      <c r="W279" t="s">
        <v>300</v>
      </c>
      <c r="X279" t="s">
        <v>301</v>
      </c>
      <c r="Y279" t="s">
        <v>302</v>
      </c>
    </row>
    <row r="280" spans="1:25" x14ac:dyDescent="0.25">
      <c r="A280" t="s">
        <v>440</v>
      </c>
      <c r="B280">
        <v>0.23246730096850499</v>
      </c>
      <c r="C280">
        <v>0.111740407295068</v>
      </c>
      <c r="D280" s="11" t="s">
        <v>280</v>
      </c>
      <c r="F280" s="8" t="str">
        <f t="shared" si="25"/>
        <v>New "Load.m1_trf_5702287a" bus1="90017935702287.1.2.3.4" phases=3 conn=Wye model=2 kv=0.380 kw=0,232467300968505 kvar=0,111740407295068 daily="CURVA" status=variable vmaxpu=1.5 vminpu=0.92</v>
      </c>
      <c r="G280" t="s">
        <v>290</v>
      </c>
      <c r="H280" t="s">
        <v>303</v>
      </c>
      <c r="I280" s="5" t="str">
        <f t="shared" si="26"/>
        <v>m1_trf_5702287a</v>
      </c>
      <c r="J280" t="s">
        <v>291</v>
      </c>
      <c r="K280" t="s">
        <v>292</v>
      </c>
      <c r="L280" s="13" t="str">
        <f t="shared" si="27"/>
        <v>90017935702287</v>
      </c>
      <c r="M280" t="s">
        <v>293</v>
      </c>
      <c r="N280" t="s">
        <v>294</v>
      </c>
      <c r="O280" t="s">
        <v>295</v>
      </c>
      <c r="P280" t="s">
        <v>304</v>
      </c>
      <c r="Q280" t="s">
        <v>297</v>
      </c>
      <c r="R280" t="s">
        <v>298</v>
      </c>
      <c r="S280" s="5">
        <f t="shared" si="28"/>
        <v>0.23246730096850499</v>
      </c>
      <c r="T280" t="s">
        <v>299</v>
      </c>
      <c r="U280" s="5">
        <f t="shared" si="29"/>
        <v>0.111740407295068</v>
      </c>
      <c r="V280" t="s">
        <v>448</v>
      </c>
      <c r="W280" t="s">
        <v>300</v>
      </c>
      <c r="X280" t="s">
        <v>301</v>
      </c>
      <c r="Y280" t="s">
        <v>302</v>
      </c>
    </row>
    <row r="281" spans="1:25" x14ac:dyDescent="0.25">
      <c r="A281" t="s">
        <v>441</v>
      </c>
      <c r="B281">
        <v>6.7570362049787303</v>
      </c>
      <c r="C281">
        <v>3.2073009516324298</v>
      </c>
      <c r="D281" s="11" t="s">
        <v>281</v>
      </c>
      <c r="F281" s="8" t="str">
        <f t="shared" si="25"/>
        <v>New "Load.m1_trf_5713817a" bus1="82034385713817.1.2.3.4" phases=3 conn=Wye model=2 kv=0.380 kw=6,75703620497873 kvar=3,20730095163243 daily="CURVA" status=variable vmaxpu=1.5 vminpu=0.92</v>
      </c>
      <c r="G281" t="s">
        <v>290</v>
      </c>
      <c r="H281" t="s">
        <v>303</v>
      </c>
      <c r="I281" s="5" t="str">
        <f t="shared" si="26"/>
        <v>m1_trf_5713817a</v>
      </c>
      <c r="J281" t="s">
        <v>291</v>
      </c>
      <c r="K281" t="s">
        <v>292</v>
      </c>
      <c r="L281" s="13" t="str">
        <f t="shared" si="27"/>
        <v>82034385713817</v>
      </c>
      <c r="M281" t="s">
        <v>293</v>
      </c>
      <c r="N281" t="s">
        <v>294</v>
      </c>
      <c r="O281" t="s">
        <v>295</v>
      </c>
      <c r="P281" t="s">
        <v>304</v>
      </c>
      <c r="Q281" t="s">
        <v>297</v>
      </c>
      <c r="R281" t="s">
        <v>298</v>
      </c>
      <c r="S281" s="5">
        <f t="shared" si="28"/>
        <v>6.7570362049787303</v>
      </c>
      <c r="T281" t="s">
        <v>299</v>
      </c>
      <c r="U281" s="5">
        <f t="shared" si="29"/>
        <v>3.2073009516324298</v>
      </c>
      <c r="V281" t="s">
        <v>448</v>
      </c>
      <c r="W281" t="s">
        <v>300</v>
      </c>
      <c r="X281" t="s">
        <v>301</v>
      </c>
      <c r="Y281" t="s">
        <v>302</v>
      </c>
    </row>
    <row r="282" spans="1:25" x14ac:dyDescent="0.25">
      <c r="A282" t="s">
        <v>442</v>
      </c>
      <c r="B282">
        <v>7.8571787043294696</v>
      </c>
      <c r="C282">
        <v>3.7253522711668698</v>
      </c>
      <c r="D282" s="11" t="s">
        <v>282</v>
      </c>
      <c r="F282" s="8" t="str">
        <f t="shared" si="25"/>
        <v>New "Load.m1_trf_5719448a" bus1="95141555719448.1.2.3.4" phases=3 conn=Wye model=2 kv=0.380 kw=7,85717870432947 kvar=3,72535227116687 daily="CURVA" status=variable vmaxpu=1.5 vminpu=0.92</v>
      </c>
      <c r="G282" t="s">
        <v>290</v>
      </c>
      <c r="H282" t="s">
        <v>303</v>
      </c>
      <c r="I282" s="5" t="str">
        <f t="shared" si="26"/>
        <v>m1_trf_5719448a</v>
      </c>
      <c r="J282" t="s">
        <v>291</v>
      </c>
      <c r="K282" t="s">
        <v>292</v>
      </c>
      <c r="L282" s="13" t="str">
        <f t="shared" si="27"/>
        <v>95141555719448</v>
      </c>
      <c r="M282" t="s">
        <v>293</v>
      </c>
      <c r="N282" t="s">
        <v>294</v>
      </c>
      <c r="O282" t="s">
        <v>295</v>
      </c>
      <c r="P282" t="s">
        <v>304</v>
      </c>
      <c r="Q282" t="s">
        <v>297</v>
      </c>
      <c r="R282" t="s">
        <v>298</v>
      </c>
      <c r="S282" s="5">
        <f t="shared" si="28"/>
        <v>7.8571787043294696</v>
      </c>
      <c r="T282" t="s">
        <v>299</v>
      </c>
      <c r="U282" s="5">
        <f t="shared" si="29"/>
        <v>3.7253522711668698</v>
      </c>
      <c r="V282" t="s">
        <v>448</v>
      </c>
      <c r="W282" t="s">
        <v>300</v>
      </c>
      <c r="X282" t="s">
        <v>301</v>
      </c>
      <c r="Y282" t="s">
        <v>302</v>
      </c>
    </row>
    <row r="283" spans="1:25" x14ac:dyDescent="0.25">
      <c r="A283" t="s">
        <v>443</v>
      </c>
      <c r="B283">
        <v>26.225424940544301</v>
      </c>
      <c r="C283">
        <v>12.130865974971799</v>
      </c>
      <c r="D283" s="11" t="s">
        <v>283</v>
      </c>
      <c r="F283" s="8" t="str">
        <f t="shared" si="25"/>
        <v>New "Load.m1_trf_5333902a" bus1="85167275333902.1.2.3.4" phases=3 conn=Wye model=2 kv=0.380 kw=26,2254249405443 kvar=12,1308659749718 daily="CURVA" status=variable vmaxpu=1.5 vminpu=0.92</v>
      </c>
      <c r="G283" t="s">
        <v>290</v>
      </c>
      <c r="H283" t="s">
        <v>303</v>
      </c>
      <c r="I283" s="5" t="str">
        <f t="shared" si="26"/>
        <v>m1_trf_5333902a</v>
      </c>
      <c r="J283" t="s">
        <v>291</v>
      </c>
      <c r="K283" t="s">
        <v>292</v>
      </c>
      <c r="L283" s="13" t="str">
        <f t="shared" si="27"/>
        <v>85167275333902</v>
      </c>
      <c r="M283" t="s">
        <v>293</v>
      </c>
      <c r="N283" t="s">
        <v>294</v>
      </c>
      <c r="O283" t="s">
        <v>295</v>
      </c>
      <c r="P283" t="s">
        <v>304</v>
      </c>
      <c r="Q283" t="s">
        <v>297</v>
      </c>
      <c r="R283" t="s">
        <v>298</v>
      </c>
      <c r="S283" s="5">
        <f t="shared" si="28"/>
        <v>26.225424940544301</v>
      </c>
      <c r="T283" t="s">
        <v>299</v>
      </c>
      <c r="U283" s="5">
        <f t="shared" si="29"/>
        <v>12.130865974971799</v>
      </c>
      <c r="V283" t="s">
        <v>448</v>
      </c>
      <c r="W283" t="s">
        <v>300</v>
      </c>
      <c r="X283" t="s">
        <v>301</v>
      </c>
      <c r="Y283" t="s">
        <v>302</v>
      </c>
    </row>
    <row r="284" spans="1:25" x14ac:dyDescent="0.25">
      <c r="A284" t="s">
        <v>444</v>
      </c>
      <c r="B284">
        <v>14.5905864350407</v>
      </c>
      <c r="C284">
        <v>6.6429664934662904</v>
      </c>
      <c r="D284" s="11" t="s">
        <v>284</v>
      </c>
      <c r="F284" s="8" t="str">
        <f t="shared" si="25"/>
        <v>New "Load.m1_trf_5740255a" bus1="82056945740255.1.2.3.4" phases=3 conn=Wye model=2 kv=0.380 kw=14,5905864350407 kvar=6,64296649346629 daily="CURVA" status=variable vmaxpu=1.5 vminpu=0.92</v>
      </c>
      <c r="G284" t="s">
        <v>290</v>
      </c>
      <c r="H284" t="s">
        <v>303</v>
      </c>
      <c r="I284" s="5" t="str">
        <f t="shared" si="26"/>
        <v>m1_trf_5740255a</v>
      </c>
      <c r="J284" t="s">
        <v>291</v>
      </c>
      <c r="K284" t="s">
        <v>292</v>
      </c>
      <c r="L284" s="13" t="str">
        <f t="shared" si="27"/>
        <v>82056945740255</v>
      </c>
      <c r="M284" t="s">
        <v>293</v>
      </c>
      <c r="N284" t="s">
        <v>294</v>
      </c>
      <c r="O284" t="s">
        <v>295</v>
      </c>
      <c r="P284" t="s">
        <v>304</v>
      </c>
      <c r="Q284" t="s">
        <v>297</v>
      </c>
      <c r="R284" t="s">
        <v>298</v>
      </c>
      <c r="S284" s="5">
        <f t="shared" si="28"/>
        <v>14.5905864350407</v>
      </c>
      <c r="T284" t="s">
        <v>299</v>
      </c>
      <c r="U284" s="5">
        <f t="shared" si="29"/>
        <v>6.6429664934662904</v>
      </c>
      <c r="V284" t="s">
        <v>448</v>
      </c>
      <c r="W284" t="s">
        <v>300</v>
      </c>
      <c r="X284" t="s">
        <v>301</v>
      </c>
      <c r="Y284" t="s">
        <v>302</v>
      </c>
    </row>
    <row r="285" spans="1:25" x14ac:dyDescent="0.25">
      <c r="A285" t="s">
        <v>445</v>
      </c>
      <c r="B285">
        <v>12.2445576749837</v>
      </c>
      <c r="C285">
        <v>5.5879303058404997</v>
      </c>
      <c r="D285" s="11" t="s">
        <v>285</v>
      </c>
      <c r="F285" s="8" t="str">
        <f t="shared" si="25"/>
        <v>New "Load.m1_trf_5740270a" bus1="96033635740270.1.2.3.4" phases=3 conn=Wye model=2 kv=0.380 kw=12,2445576749837 kvar=5,5879303058405 daily="CURVA" status=variable vmaxpu=1.5 vminpu=0.92</v>
      </c>
      <c r="G285" t="s">
        <v>290</v>
      </c>
      <c r="H285" t="s">
        <v>303</v>
      </c>
      <c r="I285" s="5" t="str">
        <f t="shared" si="26"/>
        <v>m1_trf_5740270a</v>
      </c>
      <c r="J285" t="s">
        <v>291</v>
      </c>
      <c r="K285" t="s">
        <v>292</v>
      </c>
      <c r="L285" s="13" t="str">
        <f t="shared" si="27"/>
        <v>96033635740270</v>
      </c>
      <c r="M285" t="s">
        <v>293</v>
      </c>
      <c r="N285" t="s">
        <v>294</v>
      </c>
      <c r="O285" t="s">
        <v>295</v>
      </c>
      <c r="P285" t="s">
        <v>304</v>
      </c>
      <c r="Q285" t="s">
        <v>297</v>
      </c>
      <c r="R285" t="s">
        <v>298</v>
      </c>
      <c r="S285" s="5">
        <f t="shared" si="28"/>
        <v>12.2445576749837</v>
      </c>
      <c r="T285" t="s">
        <v>299</v>
      </c>
      <c r="U285" s="5">
        <f t="shared" si="29"/>
        <v>5.5879303058404997</v>
      </c>
      <c r="V285" t="s">
        <v>448</v>
      </c>
      <c r="W285" t="s">
        <v>300</v>
      </c>
      <c r="X285" t="s">
        <v>301</v>
      </c>
      <c r="Y285" t="s">
        <v>302</v>
      </c>
    </row>
    <row r="286" spans="1:25" x14ac:dyDescent="0.25">
      <c r="A286" t="s">
        <v>446</v>
      </c>
      <c r="B286">
        <v>16.432047565832299</v>
      </c>
      <c r="C286">
        <v>7.6186309665574399</v>
      </c>
      <c r="D286" s="11">
        <v>96264655744153</v>
      </c>
      <c r="F286" s="8" t="str">
        <f t="shared" si="25"/>
        <v>New "Load.m1_trf_5744153a" bus1="96264655744153.1.2.3.4" phases=3 conn=Wye model=2 kv=0.380 kw=16,4320475658323 kvar=7,61863096655744 daily="CURVA" status=variable vmaxpu=1.5 vminpu=0.92</v>
      </c>
      <c r="G286" t="s">
        <v>290</v>
      </c>
      <c r="H286" t="s">
        <v>303</v>
      </c>
      <c r="I286" s="5" t="str">
        <f t="shared" si="26"/>
        <v>m1_trf_5744153a</v>
      </c>
      <c r="J286" t="s">
        <v>291</v>
      </c>
      <c r="K286" t="s">
        <v>292</v>
      </c>
      <c r="L286" s="13">
        <f t="shared" si="27"/>
        <v>96264655744153</v>
      </c>
      <c r="M286" t="s">
        <v>293</v>
      </c>
      <c r="N286" t="s">
        <v>294</v>
      </c>
      <c r="O286" t="s">
        <v>295</v>
      </c>
      <c r="P286" t="s">
        <v>304</v>
      </c>
      <c r="Q286" t="s">
        <v>297</v>
      </c>
      <c r="R286" t="s">
        <v>298</v>
      </c>
      <c r="S286" s="5">
        <f t="shared" si="28"/>
        <v>16.432047565832299</v>
      </c>
      <c r="T286" t="s">
        <v>299</v>
      </c>
      <c r="U286" s="5">
        <f t="shared" si="29"/>
        <v>7.6186309665574399</v>
      </c>
      <c r="V286" t="s">
        <v>448</v>
      </c>
      <c r="W286" t="s">
        <v>300</v>
      </c>
      <c r="X286" t="s">
        <v>301</v>
      </c>
      <c r="Y286" t="s">
        <v>302</v>
      </c>
    </row>
    <row r="287" spans="1:25" x14ac:dyDescent="0.25">
      <c r="A287" s="17" t="s">
        <v>447</v>
      </c>
      <c r="B287" s="17">
        <v>11.0902798793934</v>
      </c>
      <c r="C287" s="17">
        <v>5.0629969355536897</v>
      </c>
      <c r="D287" s="18" t="s">
        <v>287</v>
      </c>
      <c r="E287" s="17"/>
      <c r="F287" s="19" t="str">
        <f t="shared" si="25"/>
        <v>New "Load.m1_trf_5444435a" bus1="81481405444435.1.2.3.4" phases=3 conn=Wye model=2 kv=0.380 kw=11,0902798793934 kvar=5,06299693555369 daily="CURVA" status=variable vmaxpu=1.5 vminpu=0.92</v>
      </c>
      <c r="G287" s="17" t="s">
        <v>290</v>
      </c>
      <c r="H287" s="17" t="s">
        <v>303</v>
      </c>
      <c r="I287" s="20" t="str">
        <f t="shared" si="26"/>
        <v>m1_trf_5444435a</v>
      </c>
      <c r="J287" s="17" t="s">
        <v>291</v>
      </c>
      <c r="K287" s="17" t="s">
        <v>292</v>
      </c>
      <c r="L287" s="21" t="str">
        <f t="shared" si="27"/>
        <v>81481405444435</v>
      </c>
      <c r="M287" s="17" t="s">
        <v>293</v>
      </c>
      <c r="N287" s="17" t="s">
        <v>294</v>
      </c>
      <c r="O287" s="17" t="s">
        <v>295</v>
      </c>
      <c r="P287" s="17" t="s">
        <v>304</v>
      </c>
      <c r="Q287" s="22" t="s">
        <v>297</v>
      </c>
      <c r="R287" s="17" t="s">
        <v>298</v>
      </c>
      <c r="S287" s="20">
        <f t="shared" si="28"/>
        <v>11.0902798793934</v>
      </c>
      <c r="T287" s="17" t="s">
        <v>299</v>
      </c>
      <c r="U287" s="20">
        <f t="shared" si="29"/>
        <v>5.0629969355536897</v>
      </c>
      <c r="V287" s="17" t="s">
        <v>448</v>
      </c>
      <c r="W287" s="17" t="s">
        <v>300</v>
      </c>
      <c r="X287" s="17" t="s">
        <v>301</v>
      </c>
      <c r="Y287" s="17" t="s">
        <v>302</v>
      </c>
    </row>
    <row r="288" spans="1:25" x14ac:dyDescent="0.25">
      <c r="A288" s="3" t="s">
        <v>449</v>
      </c>
      <c r="B288" s="3">
        <v>5.4692572872934102</v>
      </c>
      <c r="C288" s="3">
        <v>2.6169812558849999</v>
      </c>
      <c r="D288" s="12">
        <v>88185385002086</v>
      </c>
      <c r="E288" s="3"/>
      <c r="F288" s="9" t="str">
        <f t="shared" si="25"/>
        <v>New "Load.mt_10009727955_m1" bus1="88185385002086.1.2.3.4" phases=3 conn=Wye model=2 kv=13.8 kw=5,46925728729341 kvar=2,616981255885 daily="CURVA" status=variable vmaxpu=1.6 vminpu=0.92</v>
      </c>
      <c r="G288" s="3" t="s">
        <v>290</v>
      </c>
      <c r="H288" s="3" t="s">
        <v>303</v>
      </c>
      <c r="I288" s="6" t="str">
        <f t="shared" si="26"/>
        <v>mt_10009727955_m1</v>
      </c>
      <c r="J288" s="3" t="s">
        <v>291</v>
      </c>
      <c r="K288" s="3" t="s">
        <v>292</v>
      </c>
      <c r="L288" s="14">
        <f t="shared" si="27"/>
        <v>88185385002086</v>
      </c>
      <c r="M288" s="3" t="s">
        <v>293</v>
      </c>
      <c r="N288" s="3" t="s">
        <v>294</v>
      </c>
      <c r="O288" s="3" t="s">
        <v>295</v>
      </c>
      <c r="P288" s="3" t="s">
        <v>304</v>
      </c>
      <c r="Q288" s="16" t="s">
        <v>469</v>
      </c>
      <c r="R288" s="3" t="s">
        <v>298</v>
      </c>
      <c r="S288" s="6">
        <f t="shared" si="28"/>
        <v>5.4692572872934102</v>
      </c>
      <c r="T288" s="3" t="s">
        <v>299</v>
      </c>
      <c r="U288" s="6">
        <f t="shared" si="29"/>
        <v>2.6169812558849999</v>
      </c>
      <c r="V288" s="3" t="s">
        <v>448</v>
      </c>
      <c r="W288" s="3" t="s">
        <v>300</v>
      </c>
      <c r="X288" s="3" t="s">
        <v>470</v>
      </c>
      <c r="Y288" s="3" t="s">
        <v>302</v>
      </c>
    </row>
    <row r="289" spans="1:25" x14ac:dyDescent="0.25">
      <c r="A289" t="s">
        <v>450</v>
      </c>
      <c r="B289">
        <v>5.4692572872934102</v>
      </c>
      <c r="C289">
        <v>2.6169812558849999</v>
      </c>
      <c r="D289" s="11">
        <v>88185385002086</v>
      </c>
      <c r="F289" s="8" t="str">
        <f t="shared" si="25"/>
        <v>New "Load.mt_10009727955_m2" bus1="88185385002086.1.2.3.4" phases=3 conn=Wye model=3 kv=13.8 kw=5,46925728729341 kvar=2,616981255885 daily="CURVA" status=variable vmaxpu=1.5 vminpu=0.92</v>
      </c>
      <c r="G289" t="s">
        <v>290</v>
      </c>
      <c r="H289" t="s">
        <v>303</v>
      </c>
      <c r="I289" s="5" t="str">
        <f t="shared" si="26"/>
        <v>mt_10009727955_m2</v>
      </c>
      <c r="J289" t="s">
        <v>291</v>
      </c>
      <c r="K289" t="s">
        <v>292</v>
      </c>
      <c r="L289" s="13">
        <f t="shared" si="27"/>
        <v>88185385002086</v>
      </c>
      <c r="M289" t="s">
        <v>293</v>
      </c>
      <c r="N289" t="s">
        <v>294</v>
      </c>
      <c r="O289" t="s">
        <v>295</v>
      </c>
      <c r="P289" t="s">
        <v>296</v>
      </c>
      <c r="Q289" s="15" t="s">
        <v>469</v>
      </c>
      <c r="R289" t="s">
        <v>298</v>
      </c>
      <c r="S289" s="5">
        <f t="shared" si="28"/>
        <v>5.4692572872934102</v>
      </c>
      <c r="T289" t="s">
        <v>299</v>
      </c>
      <c r="U289" s="5">
        <f t="shared" si="29"/>
        <v>2.6169812558849999</v>
      </c>
      <c r="V289" t="s">
        <v>448</v>
      </c>
      <c r="W289" t="s">
        <v>300</v>
      </c>
      <c r="X289" t="s">
        <v>301</v>
      </c>
      <c r="Y289" t="s">
        <v>302</v>
      </c>
    </row>
    <row r="290" spans="1:25" x14ac:dyDescent="0.25">
      <c r="A290" t="s">
        <v>451</v>
      </c>
      <c r="B290">
        <v>2.65068009244008</v>
      </c>
      <c r="C290">
        <v>1.2683221419074999</v>
      </c>
      <c r="D290" s="11">
        <v>89458365002086</v>
      </c>
      <c r="F290" s="8" t="str">
        <f t="shared" si="25"/>
        <v>New "Load.mt_10014416466_m1" bus1="89458365002086.1.2.3.4" phases=3 conn=Wye model=2 kv=13.8 kw=2,65068009244008 kvar=1,2683221419075 daily="CURVA" status=variable vmaxpu=1.5 vminpu=0.92</v>
      </c>
      <c r="G290" t="s">
        <v>290</v>
      </c>
      <c r="H290" t="s">
        <v>303</v>
      </c>
      <c r="I290" s="5" t="str">
        <f t="shared" si="26"/>
        <v>mt_10014416466_m1</v>
      </c>
      <c r="J290" t="s">
        <v>291</v>
      </c>
      <c r="K290" t="s">
        <v>292</v>
      </c>
      <c r="L290" s="13">
        <f t="shared" si="27"/>
        <v>89458365002086</v>
      </c>
      <c r="M290" t="s">
        <v>293</v>
      </c>
      <c r="N290" t="s">
        <v>294</v>
      </c>
      <c r="O290" t="s">
        <v>295</v>
      </c>
      <c r="P290" t="s">
        <v>304</v>
      </c>
      <c r="Q290" s="15" t="s">
        <v>469</v>
      </c>
      <c r="R290" t="s">
        <v>298</v>
      </c>
      <c r="S290" s="5">
        <f t="shared" si="28"/>
        <v>2.65068009244008</v>
      </c>
      <c r="T290" t="s">
        <v>299</v>
      </c>
      <c r="U290" s="5">
        <f t="shared" si="29"/>
        <v>1.2683221419074999</v>
      </c>
      <c r="V290" t="s">
        <v>448</v>
      </c>
      <c r="W290" t="s">
        <v>300</v>
      </c>
      <c r="X290" t="s">
        <v>301</v>
      </c>
      <c r="Y290" t="s">
        <v>302</v>
      </c>
    </row>
    <row r="291" spans="1:25" x14ac:dyDescent="0.25">
      <c r="A291" t="s">
        <v>452</v>
      </c>
      <c r="B291">
        <v>2.65068009244008</v>
      </c>
      <c r="C291">
        <v>1.2683221419074999</v>
      </c>
      <c r="D291" s="11">
        <v>89458365002086</v>
      </c>
      <c r="F291" s="8" t="str">
        <f t="shared" si="25"/>
        <v>New "Load.mt_10014416466_m2" bus1="89458365002086.1.2.3.4" phases=3 conn=Wye model=3 kv=13.8 kw=2,65068009244008 kvar=1,2683221419075 daily="CURVA" status=variable vmaxpu=1.5 vminpu=0.92</v>
      </c>
      <c r="G291" t="s">
        <v>290</v>
      </c>
      <c r="H291" t="s">
        <v>303</v>
      </c>
      <c r="I291" s="5" t="str">
        <f t="shared" si="26"/>
        <v>mt_10014416466_m2</v>
      </c>
      <c r="J291" t="s">
        <v>291</v>
      </c>
      <c r="K291" t="s">
        <v>292</v>
      </c>
      <c r="L291" s="13">
        <f t="shared" si="27"/>
        <v>89458365002086</v>
      </c>
      <c r="M291" t="s">
        <v>293</v>
      </c>
      <c r="N291" t="s">
        <v>294</v>
      </c>
      <c r="O291" t="s">
        <v>295</v>
      </c>
      <c r="P291" t="s">
        <v>296</v>
      </c>
      <c r="Q291" s="15" t="s">
        <v>469</v>
      </c>
      <c r="R291" t="s">
        <v>298</v>
      </c>
      <c r="S291" s="5">
        <f t="shared" si="28"/>
        <v>2.65068009244008</v>
      </c>
      <c r="T291" t="s">
        <v>299</v>
      </c>
      <c r="U291" s="5">
        <f t="shared" si="29"/>
        <v>1.2683221419074999</v>
      </c>
      <c r="V291" t="s">
        <v>448</v>
      </c>
      <c r="W291" t="s">
        <v>300</v>
      </c>
      <c r="X291" t="s">
        <v>301</v>
      </c>
      <c r="Y291" t="s">
        <v>302</v>
      </c>
    </row>
    <row r="292" spans="1:25" x14ac:dyDescent="0.25">
      <c r="A292" t="s">
        <v>453</v>
      </c>
      <c r="B292">
        <v>2.32027223167495</v>
      </c>
      <c r="C292">
        <v>1.1102255059294699</v>
      </c>
      <c r="D292" s="11">
        <v>89813615002086</v>
      </c>
      <c r="F292" s="8" t="str">
        <f t="shared" si="25"/>
        <v>New "Load.mt_10015559007_m1" bus1="89813615002086.1.2.3.4" phases=3 conn=Wye model=2 kv=13.8 kw=2,32027223167495 kvar=1,11022550592947 daily="CURVA" status=variable vmaxpu=1.5 vminpu=0.92</v>
      </c>
      <c r="G292" t="s">
        <v>290</v>
      </c>
      <c r="H292" t="s">
        <v>303</v>
      </c>
      <c r="I292" s="5" t="str">
        <f t="shared" si="26"/>
        <v>mt_10015559007_m1</v>
      </c>
      <c r="J292" t="s">
        <v>291</v>
      </c>
      <c r="K292" t="s">
        <v>292</v>
      </c>
      <c r="L292" s="13">
        <f t="shared" si="27"/>
        <v>89813615002086</v>
      </c>
      <c r="M292" t="s">
        <v>293</v>
      </c>
      <c r="N292" t="s">
        <v>294</v>
      </c>
      <c r="O292" t="s">
        <v>295</v>
      </c>
      <c r="P292" t="s">
        <v>304</v>
      </c>
      <c r="Q292" s="15" t="s">
        <v>469</v>
      </c>
      <c r="R292" t="s">
        <v>298</v>
      </c>
      <c r="S292" s="5">
        <f t="shared" si="28"/>
        <v>2.32027223167495</v>
      </c>
      <c r="T292" t="s">
        <v>299</v>
      </c>
      <c r="U292" s="5">
        <f t="shared" si="29"/>
        <v>1.1102255059294699</v>
      </c>
      <c r="V292" t="s">
        <v>448</v>
      </c>
      <c r="W292" t="s">
        <v>300</v>
      </c>
      <c r="X292" t="s">
        <v>301</v>
      </c>
      <c r="Y292" t="s">
        <v>302</v>
      </c>
    </row>
    <row r="293" spans="1:25" x14ac:dyDescent="0.25">
      <c r="A293" t="s">
        <v>454</v>
      </c>
      <c r="B293">
        <v>2.32027223167495</v>
      </c>
      <c r="C293">
        <v>1.1102255059294699</v>
      </c>
      <c r="D293" s="11">
        <v>89813615002086</v>
      </c>
      <c r="F293" s="8" t="str">
        <f t="shared" si="25"/>
        <v>New "Load.mt_10015559007_m2" bus1="89813615002086.1.2.3.4" phases=3 conn=Wye model=3 kv=13.8 kw=2,32027223167495 kvar=1,11022550592947 daily="CURVA" status=variable vmaxpu=1.6 vminpu=0.92</v>
      </c>
      <c r="G293" t="s">
        <v>290</v>
      </c>
      <c r="H293" t="s">
        <v>303</v>
      </c>
      <c r="I293" s="5" t="str">
        <f t="shared" si="26"/>
        <v>mt_10015559007_m2</v>
      </c>
      <c r="J293" t="s">
        <v>291</v>
      </c>
      <c r="K293" t="s">
        <v>292</v>
      </c>
      <c r="L293" s="13">
        <f t="shared" si="27"/>
        <v>89813615002086</v>
      </c>
      <c r="M293" t="s">
        <v>293</v>
      </c>
      <c r="N293" t="s">
        <v>294</v>
      </c>
      <c r="O293" t="s">
        <v>295</v>
      </c>
      <c r="P293" t="s">
        <v>296</v>
      </c>
      <c r="Q293" s="15" t="s">
        <v>469</v>
      </c>
      <c r="R293" t="s">
        <v>298</v>
      </c>
      <c r="S293" s="5">
        <f t="shared" si="28"/>
        <v>2.32027223167495</v>
      </c>
      <c r="T293" t="s">
        <v>299</v>
      </c>
      <c r="U293" s="5">
        <f t="shared" si="29"/>
        <v>1.1102255059294699</v>
      </c>
      <c r="V293" t="s">
        <v>448</v>
      </c>
      <c r="W293" t="s">
        <v>300</v>
      </c>
      <c r="X293" t="s">
        <v>470</v>
      </c>
      <c r="Y293" t="s">
        <v>302</v>
      </c>
    </row>
    <row r="294" spans="1:25" x14ac:dyDescent="0.25">
      <c r="A294" t="s">
        <v>455</v>
      </c>
      <c r="B294">
        <v>0.98439557470807104</v>
      </c>
      <c r="C294">
        <v>0.47102277915728202</v>
      </c>
      <c r="D294" s="11">
        <v>90964325002086</v>
      </c>
      <c r="F294" s="8" t="str">
        <f t="shared" si="25"/>
        <v>New "Load.mt_10020770241_m1" bus1="90964325002086.1.2.3.4" phases=3 conn=Wye model=2 kv=13.8 kw=0,984395574708071 kvar=0,471022779157282 daily="CURVA" status=variable vmaxpu=1.5 vminpu=0.92</v>
      </c>
      <c r="G294" t="s">
        <v>290</v>
      </c>
      <c r="H294" t="s">
        <v>303</v>
      </c>
      <c r="I294" s="5" t="str">
        <f t="shared" si="26"/>
        <v>mt_10020770241_m1</v>
      </c>
      <c r="J294" t="s">
        <v>291</v>
      </c>
      <c r="K294" t="s">
        <v>292</v>
      </c>
      <c r="L294" s="13">
        <f t="shared" si="27"/>
        <v>90964325002086</v>
      </c>
      <c r="M294" t="s">
        <v>293</v>
      </c>
      <c r="N294" t="s">
        <v>294</v>
      </c>
      <c r="O294" t="s">
        <v>295</v>
      </c>
      <c r="P294" t="s">
        <v>304</v>
      </c>
      <c r="Q294" s="15" t="s">
        <v>469</v>
      </c>
      <c r="R294" t="s">
        <v>298</v>
      </c>
      <c r="S294" s="5">
        <f t="shared" si="28"/>
        <v>0.98439557470807104</v>
      </c>
      <c r="T294" t="s">
        <v>299</v>
      </c>
      <c r="U294" s="5">
        <f t="shared" si="29"/>
        <v>0.47102277915728202</v>
      </c>
      <c r="V294" t="s">
        <v>448</v>
      </c>
      <c r="W294" t="s">
        <v>300</v>
      </c>
      <c r="X294" t="s">
        <v>301</v>
      </c>
      <c r="Y294" t="s">
        <v>302</v>
      </c>
    </row>
    <row r="295" spans="1:25" x14ac:dyDescent="0.25">
      <c r="A295" t="s">
        <v>456</v>
      </c>
      <c r="B295">
        <v>0.98439557470807104</v>
      </c>
      <c r="C295">
        <v>0.47102277915728202</v>
      </c>
      <c r="D295" s="11">
        <v>90964325002086</v>
      </c>
      <c r="F295" s="8" t="str">
        <f t="shared" si="25"/>
        <v>New "Load.mt_10020770241_m2" bus1="90964325002086.1.2.3.4" phases=3 conn=Wye model=3 kv=13.8 kw=0,984395574708071 kvar=0,471022779157282 daily="CURVA" status=variable vmaxpu=1.5 vminpu=0.92</v>
      </c>
      <c r="G295" t="s">
        <v>290</v>
      </c>
      <c r="H295" t="s">
        <v>303</v>
      </c>
      <c r="I295" s="5" t="str">
        <f t="shared" si="26"/>
        <v>mt_10020770241_m2</v>
      </c>
      <c r="J295" t="s">
        <v>291</v>
      </c>
      <c r="K295" t="s">
        <v>292</v>
      </c>
      <c r="L295" s="13">
        <f t="shared" si="27"/>
        <v>90964325002086</v>
      </c>
      <c r="M295" t="s">
        <v>293</v>
      </c>
      <c r="N295" t="s">
        <v>294</v>
      </c>
      <c r="O295" t="s">
        <v>295</v>
      </c>
      <c r="P295" t="s">
        <v>296</v>
      </c>
      <c r="Q295" s="15" t="s">
        <v>469</v>
      </c>
      <c r="R295" t="s">
        <v>298</v>
      </c>
      <c r="S295" s="5">
        <f t="shared" si="28"/>
        <v>0.98439557470807104</v>
      </c>
      <c r="T295" t="s">
        <v>299</v>
      </c>
      <c r="U295" s="5">
        <f t="shared" si="29"/>
        <v>0.47102277915728202</v>
      </c>
      <c r="V295" t="s">
        <v>448</v>
      </c>
      <c r="W295" t="s">
        <v>300</v>
      </c>
      <c r="X295" t="s">
        <v>301</v>
      </c>
      <c r="Y295" t="s">
        <v>302</v>
      </c>
    </row>
    <row r="296" spans="1:25" x14ac:dyDescent="0.25">
      <c r="A296" t="s">
        <v>457</v>
      </c>
      <c r="B296">
        <v>1.0151536052930801</v>
      </c>
      <c r="C296">
        <v>0.48574016860903402</v>
      </c>
      <c r="D296" s="11">
        <v>89813615002086</v>
      </c>
      <c r="F296" s="8" t="str">
        <f t="shared" si="25"/>
        <v>New "Load.mt_10022767280_m1" bus1="89813615002086.1.2.3.4" phases=3 conn=Wye model=2 kv=13.8 kw=1,01515360529308 kvar=0,485740168609034 daily="CURVA" status=variable vmaxpu=1.5 vminpu=0.92</v>
      </c>
      <c r="G296" t="s">
        <v>290</v>
      </c>
      <c r="H296" t="s">
        <v>303</v>
      </c>
      <c r="I296" s="5" t="str">
        <f t="shared" si="26"/>
        <v>mt_10022767280_m1</v>
      </c>
      <c r="J296" t="s">
        <v>291</v>
      </c>
      <c r="K296" t="s">
        <v>292</v>
      </c>
      <c r="L296" s="13">
        <f t="shared" si="27"/>
        <v>89813615002086</v>
      </c>
      <c r="M296" t="s">
        <v>293</v>
      </c>
      <c r="N296" t="s">
        <v>294</v>
      </c>
      <c r="O296" t="s">
        <v>295</v>
      </c>
      <c r="P296" t="s">
        <v>304</v>
      </c>
      <c r="Q296" s="15" t="s">
        <v>469</v>
      </c>
      <c r="R296" t="s">
        <v>298</v>
      </c>
      <c r="S296" s="5">
        <f t="shared" si="28"/>
        <v>1.0151536052930801</v>
      </c>
      <c r="T296" t="s">
        <v>299</v>
      </c>
      <c r="U296" s="5">
        <f t="shared" si="29"/>
        <v>0.48574016860903402</v>
      </c>
      <c r="V296" t="s">
        <v>448</v>
      </c>
      <c r="W296" t="s">
        <v>300</v>
      </c>
      <c r="X296" t="s">
        <v>301</v>
      </c>
      <c r="Y296" t="s">
        <v>302</v>
      </c>
    </row>
    <row r="297" spans="1:25" x14ac:dyDescent="0.25">
      <c r="A297" t="s">
        <v>458</v>
      </c>
      <c r="B297">
        <v>1.0151536052930801</v>
      </c>
      <c r="C297">
        <v>0.48574016860903402</v>
      </c>
      <c r="D297" s="11">
        <v>89813615002086</v>
      </c>
      <c r="F297" s="8" t="str">
        <f t="shared" si="25"/>
        <v>New "Load.mt_10022767280_m2" bus1="89813615002086.1.2.3.4" phases=3 conn=Wye model=3 kv=13.8 kw=1,01515360529308 kvar=0,485740168609034 daily="CURVA" status=variable vmaxpu=1.5 vminpu=0.92</v>
      </c>
      <c r="G297" t="s">
        <v>290</v>
      </c>
      <c r="H297" t="s">
        <v>303</v>
      </c>
      <c r="I297" s="5" t="str">
        <f t="shared" si="26"/>
        <v>mt_10022767280_m2</v>
      </c>
      <c r="J297" t="s">
        <v>291</v>
      </c>
      <c r="K297" t="s">
        <v>292</v>
      </c>
      <c r="L297" s="13">
        <f t="shared" si="27"/>
        <v>89813615002086</v>
      </c>
      <c r="M297" t="s">
        <v>293</v>
      </c>
      <c r="N297" t="s">
        <v>294</v>
      </c>
      <c r="O297" t="s">
        <v>295</v>
      </c>
      <c r="P297" t="s">
        <v>296</v>
      </c>
      <c r="Q297" s="15" t="s">
        <v>469</v>
      </c>
      <c r="R297" t="s">
        <v>298</v>
      </c>
      <c r="S297" s="5">
        <f t="shared" si="28"/>
        <v>1.0151536052930801</v>
      </c>
      <c r="T297" t="s">
        <v>299</v>
      </c>
      <c r="U297" s="5">
        <f t="shared" si="29"/>
        <v>0.48574016860903402</v>
      </c>
      <c r="V297" t="s">
        <v>448</v>
      </c>
      <c r="W297" t="s">
        <v>300</v>
      </c>
      <c r="X297" t="s">
        <v>301</v>
      </c>
      <c r="Y297" t="s">
        <v>302</v>
      </c>
    </row>
    <row r="298" spans="1:25" x14ac:dyDescent="0.25">
      <c r="A298" t="s">
        <v>459</v>
      </c>
      <c r="B298">
        <v>1.7937245229869301</v>
      </c>
      <c r="C298">
        <v>0.85827804550059505</v>
      </c>
      <c r="D298" s="11">
        <v>88185385002086</v>
      </c>
      <c r="F298" s="8" t="str">
        <f t="shared" si="25"/>
        <v>New "Load.mt_10009727955_nt_m1" bus1="88185385002086.1.2.3.4" phases=3 conn=Wye model=2 kv=13.8 kw=1,79372452298693 kvar=0,858278045500595 daily="CURVA" status=variable vmaxpu=1.6 vminpu=0.92</v>
      </c>
      <c r="G298" t="s">
        <v>290</v>
      </c>
      <c r="H298" t="s">
        <v>303</v>
      </c>
      <c r="I298" s="5" t="str">
        <f t="shared" si="26"/>
        <v>mt_10009727955_nt_m1</v>
      </c>
      <c r="J298" t="s">
        <v>291</v>
      </c>
      <c r="K298" t="s">
        <v>292</v>
      </c>
      <c r="L298" s="13">
        <f t="shared" si="27"/>
        <v>88185385002086</v>
      </c>
      <c r="M298" t="s">
        <v>293</v>
      </c>
      <c r="N298" t="s">
        <v>294</v>
      </c>
      <c r="O298" t="s">
        <v>295</v>
      </c>
      <c r="P298" t="s">
        <v>304</v>
      </c>
      <c r="Q298" s="15" t="s">
        <v>469</v>
      </c>
      <c r="R298" t="s">
        <v>298</v>
      </c>
      <c r="S298" s="5">
        <f t="shared" si="28"/>
        <v>1.7937245229869301</v>
      </c>
      <c r="T298" t="s">
        <v>299</v>
      </c>
      <c r="U298" s="5">
        <f t="shared" si="29"/>
        <v>0.85827804550059505</v>
      </c>
      <c r="V298" t="s">
        <v>448</v>
      </c>
      <c r="W298" t="s">
        <v>300</v>
      </c>
      <c r="X298" t="s">
        <v>470</v>
      </c>
      <c r="Y298" t="s">
        <v>302</v>
      </c>
    </row>
    <row r="299" spans="1:25" x14ac:dyDescent="0.25">
      <c r="A299" t="s">
        <v>460</v>
      </c>
      <c r="B299">
        <v>1.7937245229869301</v>
      </c>
      <c r="C299">
        <v>0.85827804550059505</v>
      </c>
      <c r="D299" s="11">
        <v>88185385002086</v>
      </c>
      <c r="F299" s="8" t="str">
        <f t="shared" si="25"/>
        <v>New "Load.mt_10009727955_nt_m2" bus1="88185385002086.1.2.3.4" phases=3 conn=Wye model=3 kv=13.8 kw=1,79372452298693 kvar=0,858278045500595 daily="CURVA" status=variable vmaxpu=1.5 vminpu=0.92</v>
      </c>
      <c r="G299" t="s">
        <v>290</v>
      </c>
      <c r="H299" t="s">
        <v>303</v>
      </c>
      <c r="I299" s="5" t="str">
        <f t="shared" si="26"/>
        <v>mt_10009727955_nt_m2</v>
      </c>
      <c r="J299" t="s">
        <v>291</v>
      </c>
      <c r="K299" t="s">
        <v>292</v>
      </c>
      <c r="L299" s="13">
        <f t="shared" si="27"/>
        <v>88185385002086</v>
      </c>
      <c r="M299" t="s">
        <v>293</v>
      </c>
      <c r="N299" t="s">
        <v>294</v>
      </c>
      <c r="O299" t="s">
        <v>295</v>
      </c>
      <c r="P299" t="s">
        <v>296</v>
      </c>
      <c r="Q299" s="15" t="s">
        <v>469</v>
      </c>
      <c r="R299" t="s">
        <v>298</v>
      </c>
      <c r="S299" s="5">
        <f t="shared" si="28"/>
        <v>1.7937245229869301</v>
      </c>
      <c r="T299" t="s">
        <v>299</v>
      </c>
      <c r="U299" s="5">
        <f t="shared" si="29"/>
        <v>0.85827804550059505</v>
      </c>
      <c r="V299" t="s">
        <v>448</v>
      </c>
      <c r="W299" t="s">
        <v>300</v>
      </c>
      <c r="X299" t="s">
        <v>301</v>
      </c>
      <c r="Y299" t="s">
        <v>302</v>
      </c>
    </row>
    <row r="300" spans="1:25" x14ac:dyDescent="0.25">
      <c r="A300" t="s">
        <v>461</v>
      </c>
      <c r="B300">
        <v>0.86933006909701105</v>
      </c>
      <c r="C300">
        <v>0.41596516245260301</v>
      </c>
      <c r="D300" s="11">
        <v>89458365002086</v>
      </c>
      <c r="F300" s="8" t="str">
        <f t="shared" si="25"/>
        <v>New "Load.mt_10014416466_nt_m1" bus1="89458365002086.1.2.3.4" phases=3 conn=Wye model=2 kv=13.8 kw=0,869330069097011 kvar=0,415965162452603 daily="CURVA" status=variable vmaxpu=1.5 vminpu=0.92</v>
      </c>
      <c r="G300" t="s">
        <v>290</v>
      </c>
      <c r="H300" t="s">
        <v>303</v>
      </c>
      <c r="I300" s="5" t="str">
        <f t="shared" si="26"/>
        <v>mt_10014416466_nt_m1</v>
      </c>
      <c r="J300" t="s">
        <v>291</v>
      </c>
      <c r="K300" t="s">
        <v>292</v>
      </c>
      <c r="L300" s="13">
        <f t="shared" si="27"/>
        <v>89458365002086</v>
      </c>
      <c r="M300" t="s">
        <v>293</v>
      </c>
      <c r="N300" t="s">
        <v>294</v>
      </c>
      <c r="O300" t="s">
        <v>295</v>
      </c>
      <c r="P300" t="s">
        <v>304</v>
      </c>
      <c r="Q300" s="15" t="s">
        <v>469</v>
      </c>
      <c r="R300" t="s">
        <v>298</v>
      </c>
      <c r="S300" s="5">
        <f t="shared" si="28"/>
        <v>0.86933006909701105</v>
      </c>
      <c r="T300" t="s">
        <v>299</v>
      </c>
      <c r="U300" s="5">
        <f t="shared" si="29"/>
        <v>0.41596516245260301</v>
      </c>
      <c r="V300" t="s">
        <v>448</v>
      </c>
      <c r="W300" t="s">
        <v>300</v>
      </c>
      <c r="X300" t="s">
        <v>301</v>
      </c>
      <c r="Y300" t="s">
        <v>302</v>
      </c>
    </row>
    <row r="301" spans="1:25" x14ac:dyDescent="0.25">
      <c r="A301" t="s">
        <v>462</v>
      </c>
      <c r="B301">
        <v>0.86933006909701105</v>
      </c>
      <c r="C301">
        <v>0.41596516245260301</v>
      </c>
      <c r="D301" s="11">
        <v>89458365002086</v>
      </c>
      <c r="F301" s="8" t="str">
        <f t="shared" si="25"/>
        <v>New "Load.mt_10014416466_nt_m2" bus1="89458365002086.1.2.3.4" phases=3 conn=Wye model=3 kv=13.8 kw=0,869330069097011 kvar=0,415965162452603 daily="CURVA" status=variable vmaxpu=1.5 vminpu=0.92</v>
      </c>
      <c r="G301" t="s">
        <v>290</v>
      </c>
      <c r="H301" t="s">
        <v>303</v>
      </c>
      <c r="I301" s="5" t="str">
        <f t="shared" si="26"/>
        <v>mt_10014416466_nt_m2</v>
      </c>
      <c r="J301" t="s">
        <v>291</v>
      </c>
      <c r="K301" t="s">
        <v>292</v>
      </c>
      <c r="L301" s="13">
        <f t="shared" si="27"/>
        <v>89458365002086</v>
      </c>
      <c r="M301" t="s">
        <v>293</v>
      </c>
      <c r="N301" t="s">
        <v>294</v>
      </c>
      <c r="O301" t="s">
        <v>295</v>
      </c>
      <c r="P301" t="s">
        <v>296</v>
      </c>
      <c r="Q301" s="15" t="s">
        <v>469</v>
      </c>
      <c r="R301" t="s">
        <v>298</v>
      </c>
      <c r="S301" s="5">
        <f t="shared" si="28"/>
        <v>0.86933006909701105</v>
      </c>
      <c r="T301" t="s">
        <v>299</v>
      </c>
      <c r="U301" s="5">
        <f t="shared" si="29"/>
        <v>0.41596516245260301</v>
      </c>
      <c r="V301" t="s">
        <v>448</v>
      </c>
      <c r="W301" t="s">
        <v>300</v>
      </c>
      <c r="X301" t="s">
        <v>301</v>
      </c>
      <c r="Y301" t="s">
        <v>302</v>
      </c>
    </row>
    <row r="302" spans="1:25" x14ac:dyDescent="0.25">
      <c r="A302" t="s">
        <v>463</v>
      </c>
      <c r="B302">
        <v>0.76096790099834499</v>
      </c>
      <c r="C302">
        <v>0.36411502122408401</v>
      </c>
      <c r="D302" s="11">
        <v>89813615002086</v>
      </c>
      <c r="F302" s="8" t="str">
        <f t="shared" si="25"/>
        <v>New "Load.mt_10015559007_nt_m1" bus1="89813615002086.1.2.3.4" phases=3 conn=Wye model=2 kv=13.8 kw=0,760967900998345 kvar=0,364115021224084 daily="CURVA" status=variable vmaxpu=1.5 vminpu=0.92</v>
      </c>
      <c r="G302" t="s">
        <v>290</v>
      </c>
      <c r="H302" t="s">
        <v>303</v>
      </c>
      <c r="I302" s="5" t="str">
        <f t="shared" si="26"/>
        <v>mt_10015559007_nt_m1</v>
      </c>
      <c r="J302" t="s">
        <v>291</v>
      </c>
      <c r="K302" t="s">
        <v>292</v>
      </c>
      <c r="L302" s="13">
        <f t="shared" si="27"/>
        <v>89813615002086</v>
      </c>
      <c r="M302" t="s">
        <v>293</v>
      </c>
      <c r="N302" t="s">
        <v>294</v>
      </c>
      <c r="O302" t="s">
        <v>295</v>
      </c>
      <c r="P302" t="s">
        <v>304</v>
      </c>
      <c r="Q302" s="15" t="s">
        <v>469</v>
      </c>
      <c r="R302" t="s">
        <v>298</v>
      </c>
      <c r="S302" s="5">
        <f t="shared" si="28"/>
        <v>0.76096790099834499</v>
      </c>
      <c r="T302" t="s">
        <v>299</v>
      </c>
      <c r="U302" s="5">
        <f t="shared" si="29"/>
        <v>0.36411502122408401</v>
      </c>
      <c r="V302" t="s">
        <v>448</v>
      </c>
      <c r="W302" t="s">
        <v>300</v>
      </c>
      <c r="X302" t="s">
        <v>301</v>
      </c>
      <c r="Y302" t="s">
        <v>302</v>
      </c>
    </row>
    <row r="303" spans="1:25" x14ac:dyDescent="0.25">
      <c r="A303" t="s">
        <v>464</v>
      </c>
      <c r="B303">
        <v>0.76096790099834499</v>
      </c>
      <c r="C303">
        <v>0.36411502122408401</v>
      </c>
      <c r="D303" s="11">
        <v>89813615002086</v>
      </c>
      <c r="F303" s="8" t="str">
        <f t="shared" si="25"/>
        <v>New "Load.mt_10015559007_nt_m2" bus1="89813615002086.1.2.3.4" phases=3 conn=Wye model=3 kv=13.8 kw=0,760967900998345 kvar=0,364115021224084 daily="CURVA" status=variable vmaxpu=1.6 vminpu=0.92</v>
      </c>
      <c r="G303" t="s">
        <v>290</v>
      </c>
      <c r="H303" t="s">
        <v>303</v>
      </c>
      <c r="I303" s="5" t="str">
        <f t="shared" si="26"/>
        <v>mt_10015559007_nt_m2</v>
      </c>
      <c r="J303" t="s">
        <v>291</v>
      </c>
      <c r="K303" t="s">
        <v>292</v>
      </c>
      <c r="L303" s="13">
        <f t="shared" si="27"/>
        <v>89813615002086</v>
      </c>
      <c r="M303" t="s">
        <v>293</v>
      </c>
      <c r="N303" t="s">
        <v>294</v>
      </c>
      <c r="O303" t="s">
        <v>295</v>
      </c>
      <c r="P303" t="s">
        <v>296</v>
      </c>
      <c r="Q303" s="15" t="s">
        <v>469</v>
      </c>
      <c r="R303" t="s">
        <v>298</v>
      </c>
      <c r="S303" s="5">
        <f t="shared" si="28"/>
        <v>0.76096790099834499</v>
      </c>
      <c r="T303" t="s">
        <v>299</v>
      </c>
      <c r="U303" s="5">
        <f t="shared" si="29"/>
        <v>0.36411502122408401</v>
      </c>
      <c r="V303" t="s">
        <v>448</v>
      </c>
      <c r="W303" t="s">
        <v>300</v>
      </c>
      <c r="X303" t="s">
        <v>470</v>
      </c>
      <c r="Y303" t="s">
        <v>302</v>
      </c>
    </row>
    <row r="304" spans="1:25" x14ac:dyDescent="0.25">
      <c r="A304" t="s">
        <v>465</v>
      </c>
      <c r="B304">
        <v>0.32284708491830999</v>
      </c>
      <c r="C304">
        <v>0.15447888540757199</v>
      </c>
      <c r="D304" s="11">
        <v>90964325002086</v>
      </c>
      <c r="F304" s="8" t="str">
        <f t="shared" si="25"/>
        <v>New "Load.mt_10020770241_nt_m1" bus1="90964325002086.1.2.3.4" phases=3 conn=Wye model=2 kv=13.8 kw=0,32284708491831 kvar=0,154478885407572 daily="CURVA" status=variable vmaxpu=1.5 vminpu=0.92</v>
      </c>
      <c r="G304" t="s">
        <v>290</v>
      </c>
      <c r="H304" t="s">
        <v>303</v>
      </c>
      <c r="I304" s="5" t="str">
        <f t="shared" si="26"/>
        <v>mt_10020770241_nt_m1</v>
      </c>
      <c r="J304" t="s">
        <v>291</v>
      </c>
      <c r="K304" t="s">
        <v>292</v>
      </c>
      <c r="L304" s="13">
        <f t="shared" si="27"/>
        <v>90964325002086</v>
      </c>
      <c r="M304" t="s">
        <v>293</v>
      </c>
      <c r="N304" t="s">
        <v>294</v>
      </c>
      <c r="O304" t="s">
        <v>295</v>
      </c>
      <c r="P304" t="s">
        <v>304</v>
      </c>
      <c r="Q304" s="15" t="s">
        <v>469</v>
      </c>
      <c r="R304" t="s">
        <v>298</v>
      </c>
      <c r="S304" s="5">
        <f t="shared" si="28"/>
        <v>0.32284708491830999</v>
      </c>
      <c r="T304" t="s">
        <v>299</v>
      </c>
      <c r="U304" s="5">
        <f t="shared" si="29"/>
        <v>0.15447888540757199</v>
      </c>
      <c r="V304" t="s">
        <v>448</v>
      </c>
      <c r="W304" t="s">
        <v>300</v>
      </c>
      <c r="X304" t="s">
        <v>301</v>
      </c>
      <c r="Y304" t="s">
        <v>302</v>
      </c>
    </row>
    <row r="305" spans="1:25" x14ac:dyDescent="0.25">
      <c r="A305" t="s">
        <v>466</v>
      </c>
      <c r="B305">
        <v>0.32284708491830999</v>
      </c>
      <c r="C305">
        <v>0.15447888540757199</v>
      </c>
      <c r="D305" s="11">
        <v>90964325002086</v>
      </c>
      <c r="F305" s="8" t="str">
        <f t="shared" si="25"/>
        <v>New "Load.mt_10020770241_nt_m2" bus1="90964325002086.1.2.3.4" phases=3 conn=Wye model=3 kv=13.8 kw=0,32284708491831 kvar=0,154478885407572 daily="CURVA" status=variable vmaxpu=1.5 vminpu=0.92</v>
      </c>
      <c r="G305" t="s">
        <v>290</v>
      </c>
      <c r="H305" t="s">
        <v>303</v>
      </c>
      <c r="I305" s="5" t="str">
        <f t="shared" si="26"/>
        <v>mt_10020770241_nt_m2</v>
      </c>
      <c r="J305" t="s">
        <v>291</v>
      </c>
      <c r="K305" t="s">
        <v>292</v>
      </c>
      <c r="L305" s="13">
        <f t="shared" si="27"/>
        <v>90964325002086</v>
      </c>
      <c r="M305" t="s">
        <v>293</v>
      </c>
      <c r="N305" t="s">
        <v>294</v>
      </c>
      <c r="O305" t="s">
        <v>295</v>
      </c>
      <c r="P305" t="s">
        <v>296</v>
      </c>
      <c r="Q305" s="15" t="s">
        <v>469</v>
      </c>
      <c r="R305" t="s">
        <v>298</v>
      </c>
      <c r="S305" s="5">
        <f t="shared" si="28"/>
        <v>0.32284708491830999</v>
      </c>
      <c r="T305" t="s">
        <v>299</v>
      </c>
      <c r="U305" s="5">
        <f t="shared" si="29"/>
        <v>0.15447888540757199</v>
      </c>
      <c r="V305" t="s">
        <v>448</v>
      </c>
      <c r="W305" t="s">
        <v>300</v>
      </c>
      <c r="X305" t="s">
        <v>301</v>
      </c>
      <c r="Y305" t="s">
        <v>302</v>
      </c>
    </row>
    <row r="306" spans="1:25" x14ac:dyDescent="0.25">
      <c r="A306" t="s">
        <v>467</v>
      </c>
      <c r="B306">
        <v>0.33293475076769802</v>
      </c>
      <c r="C306">
        <v>0.15930572588275199</v>
      </c>
      <c r="D306" s="11">
        <v>89813615002086</v>
      </c>
      <c r="F306" s="8" t="str">
        <f t="shared" si="25"/>
        <v>New "Load.mt_10022767280_nt_m1" bus1="89813615002086.1.2.3.4" phases=3 conn=Wye model=2 kv=13.8 kw=0,332934750767698 kvar=0,159305725882752 daily="CURVA" status=variable vmaxpu=1.5 vminpu=0.92</v>
      </c>
      <c r="G306" t="s">
        <v>290</v>
      </c>
      <c r="H306" t="s">
        <v>303</v>
      </c>
      <c r="I306" s="5" t="str">
        <f t="shared" si="26"/>
        <v>mt_10022767280_nt_m1</v>
      </c>
      <c r="J306" t="s">
        <v>291</v>
      </c>
      <c r="K306" t="s">
        <v>292</v>
      </c>
      <c r="L306" s="13">
        <f t="shared" si="27"/>
        <v>89813615002086</v>
      </c>
      <c r="M306" t="s">
        <v>293</v>
      </c>
      <c r="N306" t="s">
        <v>294</v>
      </c>
      <c r="O306" t="s">
        <v>295</v>
      </c>
      <c r="P306" t="s">
        <v>304</v>
      </c>
      <c r="Q306" s="15" t="s">
        <v>469</v>
      </c>
      <c r="R306" t="s">
        <v>298</v>
      </c>
      <c r="S306" s="5">
        <f t="shared" si="28"/>
        <v>0.33293475076769802</v>
      </c>
      <c r="T306" t="s">
        <v>299</v>
      </c>
      <c r="U306" s="5">
        <f t="shared" si="29"/>
        <v>0.15930572588275199</v>
      </c>
      <c r="V306" t="s">
        <v>448</v>
      </c>
      <c r="W306" t="s">
        <v>300</v>
      </c>
      <c r="X306" t="s">
        <v>301</v>
      </c>
      <c r="Y306" t="s">
        <v>302</v>
      </c>
    </row>
    <row r="307" spans="1:25" x14ac:dyDescent="0.25">
      <c r="A307" t="s">
        <v>468</v>
      </c>
      <c r="B307">
        <v>0.33293475076769802</v>
      </c>
      <c r="C307">
        <v>0.15930572588275199</v>
      </c>
      <c r="D307" s="11">
        <v>89813615002086</v>
      </c>
      <c r="F307" s="8" t="str">
        <f t="shared" si="25"/>
        <v>New "Load.mt_10022767280_nt_m2" bus1="89813615002086.1.2.3.4" phases=3 conn=Wye model=3 kv=13.8 kw=0,332934750767698 kvar=0,159305725882752 daily="CURVA" status=variable vmaxpu=1.5 vminpu=0.92</v>
      </c>
      <c r="G307" t="s">
        <v>290</v>
      </c>
      <c r="H307" t="s">
        <v>303</v>
      </c>
      <c r="I307" s="5" t="str">
        <f t="shared" si="26"/>
        <v>mt_10022767280_nt_m2</v>
      </c>
      <c r="J307" t="s">
        <v>291</v>
      </c>
      <c r="K307" t="s">
        <v>292</v>
      </c>
      <c r="L307" s="13">
        <f t="shared" si="27"/>
        <v>89813615002086</v>
      </c>
      <c r="M307" t="s">
        <v>293</v>
      </c>
      <c r="N307" t="s">
        <v>294</v>
      </c>
      <c r="O307" t="s">
        <v>295</v>
      </c>
      <c r="P307" t="s">
        <v>296</v>
      </c>
      <c r="Q307" s="15" t="s">
        <v>469</v>
      </c>
      <c r="R307" t="s">
        <v>298</v>
      </c>
      <c r="S307" s="5">
        <f t="shared" si="28"/>
        <v>0.33293475076769802</v>
      </c>
      <c r="T307" t="s">
        <v>299</v>
      </c>
      <c r="U307" s="5">
        <f t="shared" si="29"/>
        <v>0.15930572588275199</v>
      </c>
      <c r="V307" t="s">
        <v>448</v>
      </c>
      <c r="W307" t="s">
        <v>300</v>
      </c>
      <c r="X307" t="s">
        <v>301</v>
      </c>
      <c r="Y307" t="s">
        <v>302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Kopcak</cp:lastModifiedBy>
  <dcterms:created xsi:type="dcterms:W3CDTF">2024-10-02T20:03:36Z</dcterms:created>
  <dcterms:modified xsi:type="dcterms:W3CDTF">2024-10-19T18:20:34Z</dcterms:modified>
</cp:coreProperties>
</file>