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CC\Alim_Meia_Ponte_5_REDUZIDO\"/>
    </mc:Choice>
  </mc:AlternateContent>
  <xr:revisionPtr revIDLastSave="0" documentId="13_ncr:1_{3DA81D76-D085-4E05-9706-AA3D264F54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_name_1" sheetId="1" r:id="rId1"/>
  </sheets>
  <calcPr calcId="191029"/>
</workbook>
</file>

<file path=xl/calcChain.xml><?xml version="1.0" encoding="utf-8"?>
<calcChain xmlns="http://schemas.openxmlformats.org/spreadsheetml/2006/main">
  <c r="U144" i="1" l="1"/>
  <c r="S144" i="1"/>
  <c r="L144" i="1"/>
  <c r="I144" i="1"/>
  <c r="F144" i="1"/>
  <c r="F5" i="1"/>
  <c r="F10" i="1"/>
  <c r="F11" i="1"/>
  <c r="F15" i="1"/>
  <c r="F16" i="1"/>
  <c r="F17" i="1"/>
  <c r="F19" i="1"/>
  <c r="F21" i="1"/>
  <c r="F29" i="1"/>
  <c r="F34" i="1"/>
  <c r="F35" i="1"/>
  <c r="F39" i="1"/>
  <c r="F40" i="1"/>
  <c r="F41" i="1"/>
  <c r="F43" i="1"/>
  <c r="F44" i="1"/>
  <c r="F45" i="1"/>
  <c r="F53" i="1"/>
  <c r="F58" i="1"/>
  <c r="F59" i="1"/>
  <c r="F63" i="1"/>
  <c r="F64" i="1"/>
  <c r="F68" i="1"/>
  <c r="F69" i="1"/>
  <c r="F82" i="1"/>
  <c r="F87" i="1"/>
  <c r="F88" i="1"/>
  <c r="F106" i="1"/>
  <c r="F111" i="1"/>
  <c r="F112" i="1"/>
  <c r="F117" i="1"/>
  <c r="F130" i="1"/>
  <c r="F135" i="1"/>
  <c r="F136" i="1"/>
  <c r="F139" i="1"/>
  <c r="F140" i="1"/>
  <c r="F141" i="1"/>
  <c r="U143" i="1"/>
  <c r="S143" i="1"/>
  <c r="F143" i="1" s="1"/>
  <c r="L143" i="1"/>
  <c r="I143" i="1"/>
  <c r="U142" i="1"/>
  <c r="S142" i="1"/>
  <c r="F142" i="1" s="1"/>
  <c r="L142" i="1"/>
  <c r="I142" i="1"/>
  <c r="U141" i="1"/>
  <c r="S141" i="1"/>
  <c r="L141" i="1"/>
  <c r="I141" i="1"/>
  <c r="U140" i="1"/>
  <c r="S140" i="1"/>
  <c r="L140" i="1"/>
  <c r="I140" i="1"/>
  <c r="U139" i="1"/>
  <c r="S139" i="1"/>
  <c r="L139" i="1"/>
  <c r="I139" i="1"/>
  <c r="U138" i="1"/>
  <c r="S138" i="1"/>
  <c r="L138" i="1"/>
  <c r="I138" i="1"/>
  <c r="U137" i="1"/>
  <c r="S137" i="1"/>
  <c r="F137" i="1" s="1"/>
  <c r="L137" i="1"/>
  <c r="I137" i="1"/>
  <c r="U136" i="1"/>
  <c r="S136" i="1"/>
  <c r="L136" i="1"/>
  <c r="I136" i="1"/>
  <c r="U135" i="1"/>
  <c r="S135" i="1"/>
  <c r="L135" i="1"/>
  <c r="I135" i="1"/>
  <c r="U134" i="1"/>
  <c r="S134" i="1"/>
  <c r="F134" i="1" s="1"/>
  <c r="L134" i="1"/>
  <c r="I134" i="1"/>
  <c r="U133" i="1"/>
  <c r="S133" i="1"/>
  <c r="F133" i="1" s="1"/>
  <c r="L133" i="1"/>
  <c r="I133" i="1"/>
  <c r="U132" i="1"/>
  <c r="S132" i="1"/>
  <c r="L132" i="1"/>
  <c r="I132" i="1"/>
  <c r="U131" i="1"/>
  <c r="S131" i="1"/>
  <c r="F131" i="1" s="1"/>
  <c r="L131" i="1"/>
  <c r="I131" i="1"/>
  <c r="U130" i="1"/>
  <c r="S130" i="1"/>
  <c r="L130" i="1"/>
  <c r="I130" i="1"/>
  <c r="U129" i="1"/>
  <c r="S129" i="1"/>
  <c r="F129" i="1" s="1"/>
  <c r="L129" i="1"/>
  <c r="I129" i="1"/>
  <c r="U128" i="1"/>
  <c r="S128" i="1"/>
  <c r="F128" i="1" s="1"/>
  <c r="L128" i="1"/>
  <c r="I128" i="1"/>
  <c r="U127" i="1"/>
  <c r="S127" i="1"/>
  <c r="F127" i="1" s="1"/>
  <c r="L127" i="1"/>
  <c r="I127" i="1"/>
  <c r="U126" i="1"/>
  <c r="S126" i="1"/>
  <c r="L126" i="1"/>
  <c r="I126" i="1"/>
  <c r="U125" i="1"/>
  <c r="S125" i="1"/>
  <c r="F125" i="1" s="1"/>
  <c r="L125" i="1"/>
  <c r="I125" i="1"/>
  <c r="U124" i="1"/>
  <c r="S124" i="1"/>
  <c r="F124" i="1" s="1"/>
  <c r="L124" i="1"/>
  <c r="I124" i="1"/>
  <c r="U123" i="1"/>
  <c r="S123" i="1"/>
  <c r="F123" i="1" s="1"/>
  <c r="L123" i="1"/>
  <c r="I123" i="1"/>
  <c r="U122" i="1"/>
  <c r="S122" i="1"/>
  <c r="F122" i="1" s="1"/>
  <c r="L122" i="1"/>
  <c r="I122" i="1"/>
  <c r="U121" i="1"/>
  <c r="S121" i="1"/>
  <c r="F121" i="1" s="1"/>
  <c r="L121" i="1"/>
  <c r="I121" i="1"/>
  <c r="U120" i="1"/>
  <c r="S120" i="1"/>
  <c r="L120" i="1"/>
  <c r="I120" i="1"/>
  <c r="U119" i="1"/>
  <c r="S119" i="1"/>
  <c r="F119" i="1" s="1"/>
  <c r="L119" i="1"/>
  <c r="I119" i="1"/>
  <c r="U118" i="1"/>
  <c r="S118" i="1"/>
  <c r="F118" i="1" s="1"/>
  <c r="L118" i="1"/>
  <c r="I118" i="1"/>
  <c r="U117" i="1"/>
  <c r="S117" i="1"/>
  <c r="L117" i="1"/>
  <c r="I117" i="1"/>
  <c r="U116" i="1"/>
  <c r="S116" i="1"/>
  <c r="F116" i="1" s="1"/>
  <c r="L116" i="1"/>
  <c r="I116" i="1"/>
  <c r="U115" i="1"/>
  <c r="S115" i="1"/>
  <c r="F115" i="1" s="1"/>
  <c r="L115" i="1"/>
  <c r="I115" i="1"/>
  <c r="U114" i="1"/>
  <c r="S114" i="1"/>
  <c r="L114" i="1"/>
  <c r="I114" i="1"/>
  <c r="U113" i="1"/>
  <c r="S113" i="1"/>
  <c r="F113" i="1" s="1"/>
  <c r="L113" i="1"/>
  <c r="I113" i="1"/>
  <c r="U112" i="1"/>
  <c r="S112" i="1"/>
  <c r="L112" i="1"/>
  <c r="I112" i="1"/>
  <c r="U111" i="1"/>
  <c r="S111" i="1"/>
  <c r="L111" i="1"/>
  <c r="I111" i="1"/>
  <c r="U110" i="1"/>
  <c r="S110" i="1"/>
  <c r="F110" i="1" s="1"/>
  <c r="L110" i="1"/>
  <c r="I110" i="1"/>
  <c r="U109" i="1"/>
  <c r="S109" i="1"/>
  <c r="F109" i="1" s="1"/>
  <c r="L109" i="1"/>
  <c r="I109" i="1"/>
  <c r="U108" i="1"/>
  <c r="S108" i="1"/>
  <c r="L108" i="1"/>
  <c r="I108" i="1"/>
  <c r="U107" i="1"/>
  <c r="S107" i="1"/>
  <c r="F107" i="1" s="1"/>
  <c r="L107" i="1"/>
  <c r="I107" i="1"/>
  <c r="U106" i="1"/>
  <c r="S106" i="1"/>
  <c r="L106" i="1"/>
  <c r="I106" i="1"/>
  <c r="U105" i="1"/>
  <c r="S105" i="1"/>
  <c r="F105" i="1" s="1"/>
  <c r="L105" i="1"/>
  <c r="I105" i="1"/>
  <c r="U104" i="1"/>
  <c r="S104" i="1"/>
  <c r="F104" i="1" s="1"/>
  <c r="L104" i="1"/>
  <c r="I104" i="1"/>
  <c r="U103" i="1"/>
  <c r="S103" i="1"/>
  <c r="F103" i="1" s="1"/>
  <c r="L103" i="1"/>
  <c r="I103" i="1"/>
  <c r="U102" i="1"/>
  <c r="S102" i="1"/>
  <c r="L102" i="1"/>
  <c r="I102" i="1"/>
  <c r="U101" i="1"/>
  <c r="S101" i="1"/>
  <c r="F101" i="1" s="1"/>
  <c r="L101" i="1"/>
  <c r="I101" i="1"/>
  <c r="U100" i="1"/>
  <c r="S100" i="1"/>
  <c r="F100" i="1" s="1"/>
  <c r="L100" i="1"/>
  <c r="I100" i="1"/>
  <c r="U99" i="1"/>
  <c r="S99" i="1"/>
  <c r="F99" i="1" s="1"/>
  <c r="L99" i="1"/>
  <c r="I99" i="1"/>
  <c r="U98" i="1"/>
  <c r="S98" i="1"/>
  <c r="F98" i="1" s="1"/>
  <c r="L98" i="1"/>
  <c r="I98" i="1"/>
  <c r="U97" i="1"/>
  <c r="S97" i="1"/>
  <c r="F97" i="1" s="1"/>
  <c r="L97" i="1"/>
  <c r="I97" i="1"/>
  <c r="U96" i="1"/>
  <c r="S96" i="1"/>
  <c r="L96" i="1"/>
  <c r="I96" i="1"/>
  <c r="U95" i="1"/>
  <c r="S95" i="1"/>
  <c r="F95" i="1" s="1"/>
  <c r="L95" i="1"/>
  <c r="I95" i="1"/>
  <c r="U94" i="1"/>
  <c r="S94" i="1"/>
  <c r="F94" i="1" s="1"/>
  <c r="L94" i="1"/>
  <c r="I94" i="1"/>
  <c r="U93" i="1"/>
  <c r="S93" i="1"/>
  <c r="F93" i="1" s="1"/>
  <c r="L93" i="1"/>
  <c r="I93" i="1"/>
  <c r="U92" i="1"/>
  <c r="S92" i="1"/>
  <c r="F92" i="1" s="1"/>
  <c r="L92" i="1"/>
  <c r="I92" i="1"/>
  <c r="U91" i="1"/>
  <c r="S91" i="1"/>
  <c r="F91" i="1" s="1"/>
  <c r="L91" i="1"/>
  <c r="I91" i="1"/>
  <c r="U90" i="1"/>
  <c r="S90" i="1"/>
  <c r="F90" i="1" s="1"/>
  <c r="L90" i="1"/>
  <c r="I90" i="1"/>
  <c r="U89" i="1"/>
  <c r="S89" i="1"/>
  <c r="F89" i="1" s="1"/>
  <c r="L89" i="1"/>
  <c r="I89" i="1"/>
  <c r="U88" i="1"/>
  <c r="S88" i="1"/>
  <c r="L88" i="1"/>
  <c r="I88" i="1"/>
  <c r="U87" i="1"/>
  <c r="S87" i="1"/>
  <c r="L87" i="1"/>
  <c r="I87" i="1"/>
  <c r="U86" i="1"/>
  <c r="S86" i="1"/>
  <c r="F86" i="1" s="1"/>
  <c r="L86" i="1"/>
  <c r="I86" i="1"/>
  <c r="U85" i="1"/>
  <c r="S85" i="1"/>
  <c r="F85" i="1" s="1"/>
  <c r="L85" i="1"/>
  <c r="I85" i="1"/>
  <c r="U84" i="1"/>
  <c r="S84" i="1"/>
  <c r="L84" i="1"/>
  <c r="I84" i="1"/>
  <c r="U83" i="1"/>
  <c r="S83" i="1"/>
  <c r="F83" i="1" s="1"/>
  <c r="L83" i="1"/>
  <c r="I83" i="1"/>
  <c r="U82" i="1"/>
  <c r="S82" i="1"/>
  <c r="L82" i="1"/>
  <c r="I82" i="1"/>
  <c r="U81" i="1"/>
  <c r="S81" i="1"/>
  <c r="F81" i="1" s="1"/>
  <c r="L81" i="1"/>
  <c r="I81" i="1"/>
  <c r="U80" i="1"/>
  <c r="S80" i="1"/>
  <c r="F80" i="1" s="1"/>
  <c r="L80" i="1"/>
  <c r="I80" i="1"/>
  <c r="U79" i="1"/>
  <c r="S79" i="1"/>
  <c r="F79" i="1" s="1"/>
  <c r="L79" i="1"/>
  <c r="I79" i="1"/>
  <c r="U78" i="1"/>
  <c r="S78" i="1"/>
  <c r="L78" i="1"/>
  <c r="I78" i="1"/>
  <c r="U77" i="1"/>
  <c r="S77" i="1"/>
  <c r="F77" i="1" s="1"/>
  <c r="L77" i="1"/>
  <c r="I77" i="1"/>
  <c r="U76" i="1"/>
  <c r="S76" i="1"/>
  <c r="F76" i="1" s="1"/>
  <c r="L76" i="1"/>
  <c r="I76" i="1"/>
  <c r="U75" i="1"/>
  <c r="S75" i="1"/>
  <c r="F75" i="1" s="1"/>
  <c r="L75" i="1"/>
  <c r="I75" i="1"/>
  <c r="U74" i="1"/>
  <c r="S74" i="1"/>
  <c r="F74" i="1" s="1"/>
  <c r="L74" i="1"/>
  <c r="I74" i="1"/>
  <c r="U73" i="1"/>
  <c r="S73" i="1"/>
  <c r="F73" i="1" s="1"/>
  <c r="L73" i="1"/>
  <c r="I73" i="1"/>
  <c r="U72" i="1"/>
  <c r="S72" i="1"/>
  <c r="L72" i="1"/>
  <c r="I72" i="1"/>
  <c r="U71" i="1"/>
  <c r="S71" i="1"/>
  <c r="F71" i="1" s="1"/>
  <c r="L71" i="1"/>
  <c r="I71" i="1"/>
  <c r="U70" i="1"/>
  <c r="S70" i="1"/>
  <c r="F70" i="1" s="1"/>
  <c r="L70" i="1"/>
  <c r="I70" i="1"/>
  <c r="U69" i="1"/>
  <c r="S69" i="1"/>
  <c r="L69" i="1"/>
  <c r="I69" i="1"/>
  <c r="U68" i="1"/>
  <c r="S68" i="1"/>
  <c r="L68" i="1"/>
  <c r="I68" i="1"/>
  <c r="U67" i="1"/>
  <c r="S67" i="1"/>
  <c r="F67" i="1" s="1"/>
  <c r="L67" i="1"/>
  <c r="I67" i="1"/>
  <c r="U66" i="1"/>
  <c r="S66" i="1"/>
  <c r="L66" i="1"/>
  <c r="I66" i="1"/>
  <c r="U65" i="1"/>
  <c r="S65" i="1"/>
  <c r="F65" i="1" s="1"/>
  <c r="L65" i="1"/>
  <c r="I65" i="1"/>
  <c r="U64" i="1"/>
  <c r="S64" i="1"/>
  <c r="L64" i="1"/>
  <c r="I64" i="1"/>
  <c r="U63" i="1"/>
  <c r="S63" i="1"/>
  <c r="L63" i="1"/>
  <c r="I63" i="1"/>
  <c r="U62" i="1"/>
  <c r="S62" i="1"/>
  <c r="F62" i="1" s="1"/>
  <c r="L62" i="1"/>
  <c r="I62" i="1"/>
  <c r="U61" i="1"/>
  <c r="S61" i="1"/>
  <c r="F61" i="1" s="1"/>
  <c r="L61" i="1"/>
  <c r="I61" i="1"/>
  <c r="U60" i="1"/>
  <c r="S60" i="1"/>
  <c r="L60" i="1"/>
  <c r="I60" i="1"/>
  <c r="U59" i="1"/>
  <c r="S59" i="1"/>
  <c r="L59" i="1"/>
  <c r="I59" i="1"/>
  <c r="U58" i="1"/>
  <c r="S58" i="1"/>
  <c r="L58" i="1"/>
  <c r="I58" i="1"/>
  <c r="U57" i="1"/>
  <c r="S57" i="1"/>
  <c r="F57" i="1" s="1"/>
  <c r="L57" i="1"/>
  <c r="I57" i="1"/>
  <c r="U56" i="1"/>
  <c r="S56" i="1"/>
  <c r="F56" i="1" s="1"/>
  <c r="L56" i="1"/>
  <c r="I56" i="1"/>
  <c r="U55" i="1"/>
  <c r="S55" i="1"/>
  <c r="F55" i="1" s="1"/>
  <c r="L55" i="1"/>
  <c r="I55" i="1"/>
  <c r="U54" i="1"/>
  <c r="S54" i="1"/>
  <c r="L54" i="1"/>
  <c r="I54" i="1"/>
  <c r="U53" i="1"/>
  <c r="S53" i="1"/>
  <c r="L53" i="1"/>
  <c r="I53" i="1"/>
  <c r="U52" i="1"/>
  <c r="S52" i="1"/>
  <c r="F52" i="1" s="1"/>
  <c r="L52" i="1"/>
  <c r="I52" i="1"/>
  <c r="U51" i="1"/>
  <c r="S51" i="1"/>
  <c r="F51" i="1" s="1"/>
  <c r="L51" i="1"/>
  <c r="I51" i="1"/>
  <c r="U50" i="1"/>
  <c r="S50" i="1"/>
  <c r="F50" i="1" s="1"/>
  <c r="L50" i="1"/>
  <c r="I50" i="1"/>
  <c r="U49" i="1"/>
  <c r="S49" i="1"/>
  <c r="F49" i="1" s="1"/>
  <c r="L49" i="1"/>
  <c r="I49" i="1"/>
  <c r="U48" i="1"/>
  <c r="S48" i="1"/>
  <c r="L48" i="1"/>
  <c r="I48" i="1"/>
  <c r="U47" i="1"/>
  <c r="S47" i="1"/>
  <c r="F47" i="1" s="1"/>
  <c r="L47" i="1"/>
  <c r="I47" i="1"/>
  <c r="U46" i="1"/>
  <c r="S46" i="1"/>
  <c r="F46" i="1" s="1"/>
  <c r="L46" i="1"/>
  <c r="I46" i="1"/>
  <c r="U45" i="1"/>
  <c r="S45" i="1"/>
  <c r="L45" i="1"/>
  <c r="I45" i="1"/>
  <c r="U44" i="1"/>
  <c r="S44" i="1"/>
  <c r="L44" i="1"/>
  <c r="I44" i="1"/>
  <c r="U43" i="1"/>
  <c r="S43" i="1"/>
  <c r="L43" i="1"/>
  <c r="I43" i="1"/>
  <c r="U42" i="1"/>
  <c r="S42" i="1"/>
  <c r="L42" i="1"/>
  <c r="I42" i="1"/>
  <c r="U41" i="1"/>
  <c r="S41" i="1"/>
  <c r="L41" i="1"/>
  <c r="I41" i="1"/>
  <c r="U40" i="1"/>
  <c r="S40" i="1"/>
  <c r="L40" i="1"/>
  <c r="I40" i="1"/>
  <c r="U39" i="1"/>
  <c r="S39" i="1"/>
  <c r="L39" i="1"/>
  <c r="I39" i="1"/>
  <c r="U38" i="1"/>
  <c r="S38" i="1"/>
  <c r="F38" i="1" s="1"/>
  <c r="L38" i="1"/>
  <c r="I38" i="1"/>
  <c r="U37" i="1"/>
  <c r="S37" i="1"/>
  <c r="F37" i="1" s="1"/>
  <c r="L37" i="1"/>
  <c r="I37" i="1"/>
  <c r="U36" i="1"/>
  <c r="S36" i="1"/>
  <c r="L36" i="1"/>
  <c r="I36" i="1"/>
  <c r="U35" i="1"/>
  <c r="S35" i="1"/>
  <c r="L35" i="1"/>
  <c r="I35" i="1"/>
  <c r="U34" i="1"/>
  <c r="S34" i="1"/>
  <c r="L34" i="1"/>
  <c r="I34" i="1"/>
  <c r="U33" i="1"/>
  <c r="S33" i="1"/>
  <c r="F33" i="1" s="1"/>
  <c r="L33" i="1"/>
  <c r="I33" i="1"/>
  <c r="U32" i="1"/>
  <c r="S32" i="1"/>
  <c r="F32" i="1" s="1"/>
  <c r="L32" i="1"/>
  <c r="I32" i="1"/>
  <c r="U31" i="1"/>
  <c r="S31" i="1"/>
  <c r="F31" i="1" s="1"/>
  <c r="L31" i="1"/>
  <c r="I31" i="1"/>
  <c r="U30" i="1"/>
  <c r="S30" i="1"/>
  <c r="L30" i="1"/>
  <c r="I30" i="1"/>
  <c r="U29" i="1"/>
  <c r="S29" i="1"/>
  <c r="L29" i="1"/>
  <c r="I29" i="1"/>
  <c r="U28" i="1"/>
  <c r="S28" i="1"/>
  <c r="F28" i="1" s="1"/>
  <c r="L28" i="1"/>
  <c r="I28" i="1"/>
  <c r="U27" i="1"/>
  <c r="S27" i="1"/>
  <c r="F27" i="1" s="1"/>
  <c r="L27" i="1"/>
  <c r="I27" i="1"/>
  <c r="U26" i="1"/>
  <c r="S26" i="1"/>
  <c r="F26" i="1" s="1"/>
  <c r="L26" i="1"/>
  <c r="I26" i="1"/>
  <c r="U25" i="1"/>
  <c r="S25" i="1"/>
  <c r="F25" i="1" s="1"/>
  <c r="L25" i="1"/>
  <c r="I25" i="1"/>
  <c r="U24" i="1"/>
  <c r="S24" i="1"/>
  <c r="L24" i="1"/>
  <c r="I24" i="1"/>
  <c r="U23" i="1"/>
  <c r="S23" i="1"/>
  <c r="F23" i="1" s="1"/>
  <c r="L23" i="1"/>
  <c r="I23" i="1"/>
  <c r="U22" i="1"/>
  <c r="S22" i="1"/>
  <c r="F22" i="1" s="1"/>
  <c r="L22" i="1"/>
  <c r="I22" i="1"/>
  <c r="U21" i="1"/>
  <c r="S21" i="1"/>
  <c r="L21" i="1"/>
  <c r="I21" i="1"/>
  <c r="U20" i="1"/>
  <c r="S20" i="1"/>
  <c r="F20" i="1" s="1"/>
  <c r="L20" i="1"/>
  <c r="I20" i="1"/>
  <c r="U19" i="1"/>
  <c r="S19" i="1"/>
  <c r="L19" i="1"/>
  <c r="I19" i="1"/>
  <c r="U18" i="1"/>
  <c r="S18" i="1"/>
  <c r="L18" i="1"/>
  <c r="I18" i="1"/>
  <c r="U17" i="1"/>
  <c r="S17" i="1"/>
  <c r="L17" i="1"/>
  <c r="I17" i="1"/>
  <c r="U16" i="1"/>
  <c r="S16" i="1"/>
  <c r="L16" i="1"/>
  <c r="I16" i="1"/>
  <c r="U15" i="1"/>
  <c r="S15" i="1"/>
  <c r="L15" i="1"/>
  <c r="I15" i="1"/>
  <c r="U14" i="1"/>
  <c r="S14" i="1"/>
  <c r="F14" i="1" s="1"/>
  <c r="L14" i="1"/>
  <c r="I14" i="1"/>
  <c r="U13" i="1"/>
  <c r="S13" i="1"/>
  <c r="F13" i="1" s="1"/>
  <c r="L13" i="1"/>
  <c r="I13" i="1"/>
  <c r="U12" i="1"/>
  <c r="S12" i="1"/>
  <c r="L12" i="1"/>
  <c r="I12" i="1"/>
  <c r="U11" i="1"/>
  <c r="S11" i="1"/>
  <c r="L11" i="1"/>
  <c r="I11" i="1"/>
  <c r="U10" i="1"/>
  <c r="S10" i="1"/>
  <c r="L10" i="1"/>
  <c r="I10" i="1"/>
  <c r="U9" i="1"/>
  <c r="S9" i="1"/>
  <c r="F9" i="1" s="1"/>
  <c r="L9" i="1"/>
  <c r="I9" i="1"/>
  <c r="U8" i="1"/>
  <c r="S8" i="1"/>
  <c r="F8" i="1" s="1"/>
  <c r="L8" i="1"/>
  <c r="I8" i="1"/>
  <c r="U7" i="1"/>
  <c r="S7" i="1"/>
  <c r="F7" i="1" s="1"/>
  <c r="L7" i="1"/>
  <c r="I7" i="1"/>
  <c r="U6" i="1"/>
  <c r="S6" i="1"/>
  <c r="L6" i="1"/>
  <c r="I6" i="1"/>
  <c r="U5" i="1"/>
  <c r="S5" i="1"/>
  <c r="L5" i="1"/>
  <c r="I5" i="1"/>
  <c r="U4" i="1"/>
  <c r="S4" i="1"/>
  <c r="F4" i="1" s="1"/>
  <c r="L4" i="1"/>
  <c r="I4" i="1"/>
  <c r="U3" i="1"/>
  <c r="S3" i="1"/>
  <c r="F3" i="1" s="1"/>
  <c r="L3" i="1"/>
  <c r="I3" i="1"/>
  <c r="U2" i="1"/>
  <c r="S2" i="1"/>
  <c r="F2" i="1" s="1"/>
  <c r="L2" i="1"/>
  <c r="I2" i="1"/>
  <c r="F6" i="1" l="1"/>
  <c r="F12" i="1"/>
  <c r="F18" i="1"/>
  <c r="F24" i="1"/>
  <c r="F30" i="1"/>
  <c r="F36" i="1"/>
  <c r="F42" i="1"/>
  <c r="F48" i="1"/>
  <c r="F54" i="1"/>
  <c r="F60" i="1"/>
  <c r="F66" i="1"/>
  <c r="F72" i="1"/>
  <c r="F78" i="1"/>
  <c r="F84" i="1"/>
  <c r="F96" i="1"/>
  <c r="F102" i="1"/>
  <c r="F108" i="1"/>
  <c r="F114" i="1"/>
  <c r="F120" i="1"/>
  <c r="F126" i="1"/>
  <c r="F132" i="1"/>
  <c r="F138" i="1"/>
</calcChain>
</file>

<file path=xl/sharedStrings.xml><?xml version="1.0" encoding="utf-8"?>
<sst xmlns="http://schemas.openxmlformats.org/spreadsheetml/2006/main" count="2435" uniqueCount="305">
  <si>
    <t>Nome</t>
  </si>
  <si>
    <t>m2_trf_5286699a</t>
  </si>
  <si>
    <t>m2_trf_5286707a</t>
  </si>
  <si>
    <t>m2_trf_5286708a</t>
  </si>
  <si>
    <t>m2_trf_5286718a</t>
  </si>
  <si>
    <t>m2_trf_5286787a</t>
  </si>
  <si>
    <t>m2_trf_5286788a</t>
  </si>
  <si>
    <t>m2_trf_5286789a</t>
  </si>
  <si>
    <t>m2_trf_5286790a</t>
  </si>
  <si>
    <t>m2_trf_5286791a</t>
  </si>
  <si>
    <t>m2_trf_5286792a</t>
  </si>
  <si>
    <t>m2_trf_5286793a</t>
  </si>
  <si>
    <t>m2_trf_5286794a</t>
  </si>
  <si>
    <t>m2_trf_5286795a</t>
  </si>
  <si>
    <t>m2_trf_5286796a</t>
  </si>
  <si>
    <t>m2_trf_5286797a</t>
  </si>
  <si>
    <t>m2_trf_5286798a</t>
  </si>
  <si>
    <t>m2_trf_5286799a</t>
  </si>
  <si>
    <t>m2_trf_5286800a</t>
  </si>
  <si>
    <t>m2_trf_5286801a</t>
  </si>
  <si>
    <t>m2_trf_5286802a</t>
  </si>
  <si>
    <t>m2_trf_5286803a</t>
  </si>
  <si>
    <t>m2_trf_5286804a</t>
  </si>
  <si>
    <t>m2_trf_5286805a</t>
  </si>
  <si>
    <t>m2_trf_5286806a</t>
  </si>
  <si>
    <t>m2_trf_5286807a</t>
  </si>
  <si>
    <t>m2_trf_5286808a</t>
  </si>
  <si>
    <t>m2_trf_5286809a</t>
  </si>
  <si>
    <t>m2_trf_5286810a</t>
  </si>
  <si>
    <t>m2_trf_5286811a</t>
  </si>
  <si>
    <t>m2_trf_5286812a</t>
  </si>
  <si>
    <t>m2_trf_5286813a</t>
  </si>
  <si>
    <t>m2_trf_5286814a</t>
  </si>
  <si>
    <t>m2_trf_5286815a</t>
  </si>
  <si>
    <t>m2_trf_5286816a</t>
  </si>
  <si>
    <t>m2_trf_5286817a</t>
  </si>
  <si>
    <t>m2_trf_5286818a</t>
  </si>
  <si>
    <t>m2_trf_5286819a</t>
  </si>
  <si>
    <t>m2_trf_5286820a</t>
  </si>
  <si>
    <t>m2_trf_5286821a</t>
  </si>
  <si>
    <t>m2_trf_5286828a</t>
  </si>
  <si>
    <t>m2_trf_5286829a</t>
  </si>
  <si>
    <t>m2_trf_5286830a</t>
  </si>
  <si>
    <t>m2_trf_5286831a</t>
  </si>
  <si>
    <t>m2_trf_5286832a</t>
  </si>
  <si>
    <t>m2_trf_5286833a</t>
  </si>
  <si>
    <t>m2_trf_5286834a</t>
  </si>
  <si>
    <t>m2_trf_5286835a</t>
  </si>
  <si>
    <t>m2_trf_5286836a</t>
  </si>
  <si>
    <t>m2_trf_5286837a</t>
  </si>
  <si>
    <t>m2_trf_5286838a</t>
  </si>
  <si>
    <t>m2_trf_5286839a</t>
  </si>
  <si>
    <t>m2_trf_5286840a</t>
  </si>
  <si>
    <t>m2_trf_5286841a</t>
  </si>
  <si>
    <t>m2_trf_5286842a</t>
  </si>
  <si>
    <t>m2_trf_5286843a</t>
  </si>
  <si>
    <t>m2_trf_5286844a</t>
  </si>
  <si>
    <t>m2_trf_5286845a</t>
  </si>
  <si>
    <t>m2_trf_5286846a</t>
  </si>
  <si>
    <t>m2_trf_5286857a</t>
  </si>
  <si>
    <t>m2_trf_5286858a</t>
  </si>
  <si>
    <t>m2_trf_5286860a</t>
  </si>
  <si>
    <t>m2_trf_5286861a</t>
  </si>
  <si>
    <t>m2_trf_5286862a</t>
  </si>
  <si>
    <t>m2_trf_5286863a</t>
  </si>
  <si>
    <t>m2_trf_5286864a</t>
  </si>
  <si>
    <t>m2_trf_5286865a</t>
  </si>
  <si>
    <t>m2_trf_5286866a</t>
  </si>
  <si>
    <t>m2_trf_5286867a</t>
  </si>
  <si>
    <t>m2_trf_5286871a</t>
  </si>
  <si>
    <t>m2_trf_5286872a</t>
  </si>
  <si>
    <t>m2_trf_5286890a</t>
  </si>
  <si>
    <t>m2_trf_5286891a</t>
  </si>
  <si>
    <t>m2_trf_5286914a</t>
  </si>
  <si>
    <t>m2_trf_5286915a</t>
  </si>
  <si>
    <t>m2_trf_5286916a</t>
  </si>
  <si>
    <t>m2_trf_5286917a</t>
  </si>
  <si>
    <t>m2_trf_5286918a</t>
  </si>
  <si>
    <t>m2_trf_5286919a</t>
  </si>
  <si>
    <t>m2_trf_5286930a</t>
  </si>
  <si>
    <t>m2_trf_5286931a</t>
  </si>
  <si>
    <t>m2_trf_5286932a</t>
  </si>
  <si>
    <t>m2_trf_5286933a</t>
  </si>
  <si>
    <t>m2_trf_5286934a</t>
  </si>
  <si>
    <t>m2_trf_5286935a</t>
  </si>
  <si>
    <t>m2_trf_5286936a</t>
  </si>
  <si>
    <t>m2_trf_5286937a</t>
  </si>
  <si>
    <t>m2_trf_5286938a</t>
  </si>
  <si>
    <t>m2_trf_5286939a</t>
  </si>
  <si>
    <t>m2_trf_5286940a</t>
  </si>
  <si>
    <t>m2_trf_5286941a</t>
  </si>
  <si>
    <t>m2_trf_5286942a</t>
  </si>
  <si>
    <t>m2_trf_5286943a</t>
  </si>
  <si>
    <t>m2_trf_5286944a</t>
  </si>
  <si>
    <t>m2_trf_5286945a</t>
  </si>
  <si>
    <t>m2_trf_5286946a</t>
  </si>
  <si>
    <t>m2_trf_5440862a</t>
  </si>
  <si>
    <t>m2_trf_5469845a</t>
  </si>
  <si>
    <t>m2_trf_5470133a</t>
  </si>
  <si>
    <t>m2_trf_5472282a</t>
  </si>
  <si>
    <t>m2_trf_5479360a</t>
  </si>
  <si>
    <t>m2_trf_5491509a</t>
  </si>
  <si>
    <t>m2_trf_5499009a</t>
  </si>
  <si>
    <t>m2_trf_5485359a</t>
  </si>
  <si>
    <t>m2_trf_5502834a</t>
  </si>
  <si>
    <t>m2_trf_5505307a</t>
  </si>
  <si>
    <t>m2_trf_5535535a</t>
  </si>
  <si>
    <t>m2_trf_5537656a</t>
  </si>
  <si>
    <t>m2_trf_5547722a</t>
  </si>
  <si>
    <t>m2_trf_5551754a</t>
  </si>
  <si>
    <t>m2_trf_5552038a</t>
  </si>
  <si>
    <t>m2_trf_5552309a</t>
  </si>
  <si>
    <t>m2_trf_5552553a</t>
  </si>
  <si>
    <t>m2_trf_5552819a</t>
  </si>
  <si>
    <t>m2_trf_5569878a</t>
  </si>
  <si>
    <t>m2_trf_5555964a</t>
  </si>
  <si>
    <t>m2_trf_5557353a</t>
  </si>
  <si>
    <t>m2_trf_5558213a</t>
  </si>
  <si>
    <t>m2_trf_5560489a</t>
  </si>
  <si>
    <t>m2_trf_5574596a</t>
  </si>
  <si>
    <t>m2_trf_5577671a</t>
  </si>
  <si>
    <t>m2_trf_5286947a</t>
  </si>
  <si>
    <t>m2_trf_5286958a</t>
  </si>
  <si>
    <t>m2_trf_5286959a</t>
  </si>
  <si>
    <t>m2_trf_5286960a</t>
  </si>
  <si>
    <t>m2_trf_5286961a</t>
  </si>
  <si>
    <t>m2_trf_5286962a</t>
  </si>
  <si>
    <t>m2_trf_5286963a</t>
  </si>
  <si>
    <t>m2_trf_5286964a</t>
  </si>
  <si>
    <t>m2_trf_5286965a</t>
  </si>
  <si>
    <t>m2_trf_5286966a</t>
  </si>
  <si>
    <t>m2_trf_5286967a</t>
  </si>
  <si>
    <t>m2_trf_5647498a</t>
  </si>
  <si>
    <t>m2_trf_5688575a</t>
  </si>
  <si>
    <t>m2_trf_5675373a</t>
  </si>
  <si>
    <t>m2_trf_5323939a</t>
  </si>
  <si>
    <t>m2_trf_5702287a</t>
  </si>
  <si>
    <t>m2_trf_5713817a</t>
  </si>
  <si>
    <t>m2_trf_5719448a</t>
  </si>
  <si>
    <t>m2_trf_5333902a</t>
  </si>
  <si>
    <t>m2_trf_5740255a</t>
  </si>
  <si>
    <t>m2_trf_5740270a</t>
  </si>
  <si>
    <t>m2_trf_5744153a</t>
  </si>
  <si>
    <t>m2_trf_5444435a</t>
  </si>
  <si>
    <t>bus2</t>
  </si>
  <si>
    <t>82034475286699</t>
  </si>
  <si>
    <t>82034835286707</t>
  </si>
  <si>
    <t>82034845286708</t>
  </si>
  <si>
    <t>82053655286718</t>
  </si>
  <si>
    <t>82023305286787</t>
  </si>
  <si>
    <t>82023395286788</t>
  </si>
  <si>
    <t>82022295286789</t>
  </si>
  <si>
    <t>82022455286790</t>
  </si>
  <si>
    <t>82022605286791</t>
  </si>
  <si>
    <t>82019965286792</t>
  </si>
  <si>
    <t>82020055286793</t>
  </si>
  <si>
    <t>82020175286794</t>
  </si>
  <si>
    <t>82020405286795</t>
  </si>
  <si>
    <t>82020555286796</t>
  </si>
  <si>
    <t>82020675286797</t>
  </si>
  <si>
    <t>82021885286798</t>
  </si>
  <si>
    <t>82021995286799</t>
  </si>
  <si>
    <t>82024325286800</t>
  </si>
  <si>
    <t>82022225286801</t>
  </si>
  <si>
    <t>82021615286802</t>
  </si>
  <si>
    <t>82036745286803</t>
  </si>
  <si>
    <t>82033055286804</t>
  </si>
  <si>
    <t>82033395286805</t>
  </si>
  <si>
    <t>82024965286806</t>
  </si>
  <si>
    <t>90855665286807</t>
  </si>
  <si>
    <t>82027905286808</t>
  </si>
  <si>
    <t>82028045286809</t>
  </si>
  <si>
    <t>82028035286810</t>
  </si>
  <si>
    <t>82026685286811</t>
  </si>
  <si>
    <t>82026915286812</t>
  </si>
  <si>
    <t>82028365286813</t>
  </si>
  <si>
    <t>82027655286814</t>
  </si>
  <si>
    <t>82027735286815</t>
  </si>
  <si>
    <t>82029355286816</t>
  </si>
  <si>
    <t>82029275286817</t>
  </si>
  <si>
    <t>82028855286818</t>
  </si>
  <si>
    <t>82027135286819</t>
  </si>
  <si>
    <t>82026625286820</t>
  </si>
  <si>
    <t>82025745286821</t>
  </si>
  <si>
    <t>82042655286828</t>
  </si>
  <si>
    <t>81490995286829</t>
  </si>
  <si>
    <t>81460505286830</t>
  </si>
  <si>
    <t>82043025286831</t>
  </si>
  <si>
    <t>82042575286832</t>
  </si>
  <si>
    <t>82041995286833</t>
  </si>
  <si>
    <t>82038095286834</t>
  </si>
  <si>
    <t>82038115286835</t>
  </si>
  <si>
    <t>82041105286836</t>
  </si>
  <si>
    <t>82041215286837</t>
  </si>
  <si>
    <t>82041905286838</t>
  </si>
  <si>
    <t>82038825286839</t>
  </si>
  <si>
    <t>82037555286840</t>
  </si>
  <si>
    <t>82039455286841</t>
  </si>
  <si>
    <t>82039695286842</t>
  </si>
  <si>
    <t>82042105286843</t>
  </si>
  <si>
    <t>82042165286844</t>
  </si>
  <si>
    <t>82042275286845</t>
  </si>
  <si>
    <t>82041545286846</t>
  </si>
  <si>
    <t>82062475286857</t>
  </si>
  <si>
    <t>82064145286858</t>
  </si>
  <si>
    <t>82065235286860</t>
  </si>
  <si>
    <t>82064065286861</t>
  </si>
  <si>
    <t>82065285286862</t>
  </si>
  <si>
    <t>82064825286863</t>
  </si>
  <si>
    <t>82064425286864</t>
  </si>
  <si>
    <t>82065005286865</t>
  </si>
  <si>
    <t>82063385286866</t>
  </si>
  <si>
    <t>82044385286867</t>
  </si>
  <si>
    <t>82055725286871</t>
  </si>
  <si>
    <t>82054825286872</t>
  </si>
  <si>
    <t>82056915286890</t>
  </si>
  <si>
    <t>82056385286891</t>
  </si>
  <si>
    <t>82053635286914</t>
  </si>
  <si>
    <t>82054535286915</t>
  </si>
  <si>
    <t>82054235286916</t>
  </si>
  <si>
    <t>82054305286917</t>
  </si>
  <si>
    <t>82053975286918</t>
  </si>
  <si>
    <t>82060535286919</t>
  </si>
  <si>
    <t>82049375286930</t>
  </si>
  <si>
    <t>82049545286931</t>
  </si>
  <si>
    <t>82049765286932</t>
  </si>
  <si>
    <t>82049805286933</t>
  </si>
  <si>
    <t>82049885286934</t>
  </si>
  <si>
    <t>82050325286935</t>
  </si>
  <si>
    <t>82049975286936</t>
  </si>
  <si>
    <t>82050035286937</t>
  </si>
  <si>
    <t>82050465286938</t>
  </si>
  <si>
    <t>82039815286939</t>
  </si>
  <si>
    <t>82039945286940</t>
  </si>
  <si>
    <t>82040015286941</t>
  </si>
  <si>
    <t>82040165286942</t>
  </si>
  <si>
    <t>82040265286943</t>
  </si>
  <si>
    <t>82039725286944</t>
  </si>
  <si>
    <t>82040415286945</t>
  </si>
  <si>
    <t>82040575286946</t>
  </si>
  <si>
    <t>81479715440862</t>
  </si>
  <si>
    <t>82032105469845</t>
  </si>
  <si>
    <t>82034125470133</t>
  </si>
  <si>
    <t>87774405472282</t>
  </si>
  <si>
    <t>81460535479360</t>
  </si>
  <si>
    <t>88287355491509</t>
  </si>
  <si>
    <t>82062715499009</t>
  </si>
  <si>
    <t>88109845485359</t>
  </si>
  <si>
    <t>82026575502834</t>
  </si>
  <si>
    <t>82034555505307</t>
  </si>
  <si>
    <t>89701935535535</t>
  </si>
  <si>
    <t>89813615537656</t>
  </si>
  <si>
    <t>90017985547722</t>
  </si>
  <si>
    <t>82061675551754</t>
  </si>
  <si>
    <t>90190165552038</t>
  </si>
  <si>
    <t>82024125552309</t>
  </si>
  <si>
    <t>90214315552553</t>
  </si>
  <si>
    <t>82032765552819</t>
  </si>
  <si>
    <t>82055955569878</t>
  </si>
  <si>
    <t>90305705555964</t>
  </si>
  <si>
    <t>82044325557353</t>
  </si>
  <si>
    <t>90349975558213</t>
  </si>
  <si>
    <t>90409505560489</t>
  </si>
  <si>
    <t>82031945574596</t>
  </si>
  <si>
    <t>90938795577671</t>
  </si>
  <si>
    <t>82040855286947</t>
  </si>
  <si>
    <t>82031405286958</t>
  </si>
  <si>
    <t>82031445286959</t>
  </si>
  <si>
    <t>82033945286960</t>
  </si>
  <si>
    <t>97400945286961</t>
  </si>
  <si>
    <t>82034445286962</t>
  </si>
  <si>
    <t>82035255286963</t>
  </si>
  <si>
    <t>82036275286964</t>
  </si>
  <si>
    <t>82035485286965</t>
  </si>
  <si>
    <t>82036045286966</t>
  </si>
  <si>
    <t>82029725286967</t>
  </si>
  <si>
    <t>93119985647498</t>
  </si>
  <si>
    <t>82054155688575</t>
  </si>
  <si>
    <t>93945325675373</t>
  </si>
  <si>
    <t>84503635323939</t>
  </si>
  <si>
    <t>90017935702287</t>
  </si>
  <si>
    <t>82034385713817</t>
  </si>
  <si>
    <t>95141555719448</t>
  </si>
  <si>
    <t>85167275333902</t>
  </si>
  <si>
    <t>82056945740255</t>
  </si>
  <si>
    <t>96033635740270</t>
  </si>
  <si>
    <t>96264655744153</t>
  </si>
  <si>
    <t>81481405444435</t>
  </si>
  <si>
    <t>kw</t>
  </si>
  <si>
    <t>kvar</t>
  </si>
  <si>
    <t>New</t>
  </si>
  <si>
    <t xml:space="preserve"> "Load.M2_</t>
  </si>
  <si>
    <t xml:space="preserve">" </t>
  </si>
  <si>
    <t>bus1="</t>
  </si>
  <si>
    <t>.1.2.3.4"</t>
  </si>
  <si>
    <t xml:space="preserve"> phases=3</t>
  </si>
  <si>
    <t xml:space="preserve"> conn=Wye</t>
  </si>
  <si>
    <t xml:space="preserve"> model=3</t>
  </si>
  <si>
    <t xml:space="preserve"> kv=0.380</t>
  </si>
  <si>
    <t xml:space="preserve"> kw=</t>
  </si>
  <si>
    <t xml:space="preserve"> kvar=</t>
  </si>
  <si>
    <t xml:space="preserve"> daily="RES-Tipo3_DU"</t>
  </si>
  <si>
    <t xml:space="preserve"> status=variable</t>
  </si>
  <si>
    <t xml:space="preserve"> vmaxpu=1.5</t>
  </si>
  <si>
    <t xml:space="preserve"> vminpu=0.92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</si>
</sst>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7"/>
  <sheetViews>
    <sheetView tabSelected="1" workbookViewId="0">
      <pane ySplit="1" topLeftCell="A117" activePane="bottomLeft" state="frozen"/>
      <selection pane="bottomLeft" activeCell="F2" sqref="F2:F144"/>
    </sheetView>
  </sheetViews>
  <sheetFormatPr defaultRowHeight="15" x14ac:dyDescent="0.25"/>
  <cols>
    <col min="1" max="1" width="16" bestFit="1" customWidth="1"/>
    <col min="2" max="3" width="12" bestFit="1" customWidth="1"/>
    <col min="4" max="4" width="18.7109375" style="2" bestFit="1" customWidth="1"/>
    <col min="6" max="6" width="27.7109375" customWidth="1"/>
    <col min="7" max="18" width="9.140625" customWidth="1"/>
    <col min="19" max="19" width="15.7109375" customWidth="1"/>
    <col min="20" max="20" width="9.140625" customWidth="1"/>
    <col min="21" max="21" width="14.7109375" customWidth="1"/>
    <col min="22" max="25" width="9.140625" customWidth="1"/>
  </cols>
  <sheetData>
    <row r="1" spans="1:25" x14ac:dyDescent="0.25">
      <c r="A1" s="1" t="s">
        <v>0</v>
      </c>
      <c r="B1" s="3" t="s">
        <v>288</v>
      </c>
      <c r="C1" s="3" t="s">
        <v>289</v>
      </c>
      <c r="D1" s="1" t="s">
        <v>144</v>
      </c>
    </row>
    <row r="2" spans="1:25" x14ac:dyDescent="0.25">
      <c r="A2" t="s">
        <v>1</v>
      </c>
      <c r="B2">
        <v>0.40538936342003601</v>
      </c>
      <c r="C2">
        <v>0.173831896895871</v>
      </c>
      <c r="D2" s="2" t="s">
        <v>145</v>
      </c>
      <c r="F2" s="5" t="str">
        <f>_xlfn.CONCAT(G2:Y2)</f>
        <v>New "Load.M2_m2_trf_5286699a" bus1="82034475286699.1.2.3.4" phases=3 conn=Wye model=3 kv=0.380 kw=0,405389363420036 kvar=0,173831896895871 daily="RES-Tipo3_DU" status=variable vmaxpu=1.5 vminpu=0.92</v>
      </c>
      <c r="G2" t="s">
        <v>290</v>
      </c>
      <c r="H2" t="s">
        <v>291</v>
      </c>
      <c r="I2" s="4" t="str">
        <f>A2</f>
        <v>m2_trf_5286699a</v>
      </c>
      <c r="J2" t="s">
        <v>292</v>
      </c>
      <c r="K2" t="s">
        <v>293</v>
      </c>
      <c r="L2" t="str">
        <f>D2</f>
        <v>82034475286699</v>
      </c>
      <c r="M2" t="s">
        <v>294</v>
      </c>
      <c r="N2" t="s">
        <v>295</v>
      </c>
      <c r="O2" t="s">
        <v>296</v>
      </c>
      <c r="P2" t="s">
        <v>297</v>
      </c>
      <c r="Q2" t="s">
        <v>298</v>
      </c>
      <c r="R2" t="s">
        <v>299</v>
      </c>
      <c r="S2" s="4">
        <f>B2</f>
        <v>0.40538936342003601</v>
      </c>
      <c r="T2" t="s">
        <v>300</v>
      </c>
      <c r="U2" s="4">
        <f>C2</f>
        <v>0.173831896895871</v>
      </c>
      <c r="V2" t="s">
        <v>301</v>
      </c>
      <c r="W2" t="s">
        <v>302</v>
      </c>
      <c r="X2" t="s">
        <v>303</v>
      </c>
      <c r="Y2" t="s">
        <v>304</v>
      </c>
    </row>
    <row r="3" spans="1:25" x14ac:dyDescent="0.25">
      <c r="A3" t="s">
        <v>2</v>
      </c>
      <c r="B3">
        <v>20.052047936693999</v>
      </c>
      <c r="C3">
        <v>8.6083060988191296</v>
      </c>
      <c r="D3" s="2" t="s">
        <v>146</v>
      </c>
      <c r="F3" s="5" t="str">
        <f t="shared" ref="F3:F66" si="0">_xlfn.CONCAT(G3:Y3)</f>
        <v>New "Load.M2_m2_trf_5286707a" bus1="82034835286707.1.2.3.4" phases=3 conn=Wye model=3 kv=0.380 kw=20,052047936694 kvar=8,60830609881913 daily="RES-Tipo3_DU" status=variable vmaxpu=1.5 vminpu=0.92</v>
      </c>
      <c r="G3" t="s">
        <v>290</v>
      </c>
      <c r="H3" t="s">
        <v>291</v>
      </c>
      <c r="I3" s="4" t="str">
        <f t="shared" ref="I3:I66" si="1">A3</f>
        <v>m2_trf_5286707a</v>
      </c>
      <c r="J3" t="s">
        <v>292</v>
      </c>
      <c r="K3" t="s">
        <v>293</v>
      </c>
      <c r="L3" t="str">
        <f t="shared" ref="L3:L66" si="2">D3</f>
        <v>82034835286707</v>
      </c>
      <c r="M3" t="s">
        <v>294</v>
      </c>
      <c r="N3" t="s">
        <v>295</v>
      </c>
      <c r="O3" t="s">
        <v>296</v>
      </c>
      <c r="P3" t="s">
        <v>297</v>
      </c>
      <c r="Q3" t="s">
        <v>298</v>
      </c>
      <c r="R3" t="s">
        <v>299</v>
      </c>
      <c r="S3" s="4">
        <f t="shared" ref="S3:S66" si="3">B3</f>
        <v>20.052047936693999</v>
      </c>
      <c r="T3" t="s">
        <v>300</v>
      </c>
      <c r="U3" s="4">
        <f t="shared" ref="U3:U66" si="4">C3</f>
        <v>8.6083060988191296</v>
      </c>
      <c r="V3" t="s">
        <v>301</v>
      </c>
      <c r="W3" t="s">
        <v>302</v>
      </c>
      <c r="X3" t="s">
        <v>303</v>
      </c>
      <c r="Y3" t="s">
        <v>304</v>
      </c>
    </row>
    <row r="4" spans="1:25" x14ac:dyDescent="0.25">
      <c r="A4" t="s">
        <v>3</v>
      </c>
      <c r="B4">
        <v>1.7618647607281901</v>
      </c>
      <c r="C4">
        <v>0.76436128281950899</v>
      </c>
      <c r="D4" s="2" t="s">
        <v>147</v>
      </c>
      <c r="F4" s="5" t="str">
        <f t="shared" si="0"/>
        <v>New "Load.M2_m2_trf_5286708a" bus1="82034845286708.1.2.3.4" phases=3 conn=Wye model=3 kv=0.380 kw=1,76186476072819 kvar=0,764361282819509 daily="RES-Tipo3_DU" status=variable vmaxpu=1.5 vminpu=0.92</v>
      </c>
      <c r="G4" t="s">
        <v>290</v>
      </c>
      <c r="H4" t="s">
        <v>291</v>
      </c>
      <c r="I4" s="4" t="str">
        <f t="shared" si="1"/>
        <v>m2_trf_5286708a</v>
      </c>
      <c r="J4" t="s">
        <v>292</v>
      </c>
      <c r="K4" t="s">
        <v>293</v>
      </c>
      <c r="L4" t="str">
        <f t="shared" si="2"/>
        <v>82034845286708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s="4">
        <f t="shared" si="3"/>
        <v>1.7618647607281901</v>
      </c>
      <c r="T4" t="s">
        <v>300</v>
      </c>
      <c r="U4" s="4">
        <f t="shared" si="4"/>
        <v>0.76436128281950899</v>
      </c>
      <c r="V4" t="s">
        <v>301</v>
      </c>
      <c r="W4" t="s">
        <v>302</v>
      </c>
      <c r="X4" t="s">
        <v>303</v>
      </c>
      <c r="Y4" t="s">
        <v>304</v>
      </c>
    </row>
    <row r="5" spans="1:25" x14ac:dyDescent="0.25">
      <c r="A5" t="s">
        <v>4</v>
      </c>
      <c r="B5">
        <v>3.4552332459750499</v>
      </c>
      <c r="C5">
        <v>1.4352856084113299</v>
      </c>
      <c r="D5" s="2" t="s">
        <v>148</v>
      </c>
      <c r="F5" s="5" t="str">
        <f t="shared" si="0"/>
        <v>New "Load.M2_m2_trf_5286718a" bus1="82053655286718.1.2.3.4" phases=3 conn=Wye model=3 kv=0.380 kw=3,45523324597505 kvar=1,43528560841133 daily="RES-Tipo3_DU" status=variable vmaxpu=1.5 vminpu=0.92</v>
      </c>
      <c r="G5" t="s">
        <v>290</v>
      </c>
      <c r="H5" t="s">
        <v>291</v>
      </c>
      <c r="I5" s="4" t="str">
        <f t="shared" si="1"/>
        <v>m2_trf_5286718a</v>
      </c>
      <c r="J5" t="s">
        <v>292</v>
      </c>
      <c r="K5" t="s">
        <v>293</v>
      </c>
      <c r="L5" t="str">
        <f t="shared" si="2"/>
        <v>82053655286718</v>
      </c>
      <c r="M5" t="s">
        <v>294</v>
      </c>
      <c r="N5" t="s">
        <v>295</v>
      </c>
      <c r="O5" t="s">
        <v>296</v>
      </c>
      <c r="P5" t="s">
        <v>297</v>
      </c>
      <c r="Q5" t="s">
        <v>298</v>
      </c>
      <c r="R5" t="s">
        <v>299</v>
      </c>
      <c r="S5" s="4">
        <f t="shared" si="3"/>
        <v>3.4552332459750499</v>
      </c>
      <c r="T5" t="s">
        <v>300</v>
      </c>
      <c r="U5" s="4">
        <f t="shared" si="4"/>
        <v>1.4352856084113299</v>
      </c>
      <c r="V5" t="s">
        <v>301</v>
      </c>
      <c r="W5" t="s">
        <v>302</v>
      </c>
      <c r="X5" t="s">
        <v>303</v>
      </c>
      <c r="Y5" t="s">
        <v>304</v>
      </c>
    </row>
    <row r="6" spans="1:25" x14ac:dyDescent="0.25">
      <c r="A6" t="s">
        <v>5</v>
      </c>
      <c r="B6">
        <v>44.8128304706051</v>
      </c>
      <c r="C6">
        <v>18.603941960160299</v>
      </c>
      <c r="D6" s="2" t="s">
        <v>149</v>
      </c>
      <c r="F6" s="5" t="str">
        <f t="shared" si="0"/>
        <v>New "Load.M2_m2_trf_5286787a" bus1="82023305286787.1.2.3.4" phases=3 conn=Wye model=3 kv=0.380 kw=44,8128304706051 kvar=18,6039419601603 daily="RES-Tipo3_DU" status=variable vmaxpu=1.5 vminpu=0.92</v>
      </c>
      <c r="G6" t="s">
        <v>290</v>
      </c>
      <c r="H6" t="s">
        <v>291</v>
      </c>
      <c r="I6" s="4" t="str">
        <f t="shared" si="1"/>
        <v>m2_trf_5286787a</v>
      </c>
      <c r="J6" t="s">
        <v>292</v>
      </c>
      <c r="K6" t="s">
        <v>293</v>
      </c>
      <c r="L6" t="str">
        <f t="shared" si="2"/>
        <v>82023305286787</v>
      </c>
      <c r="M6" t="s">
        <v>294</v>
      </c>
      <c r="N6" t="s">
        <v>295</v>
      </c>
      <c r="O6" t="s">
        <v>296</v>
      </c>
      <c r="P6" t="s">
        <v>297</v>
      </c>
      <c r="Q6" t="s">
        <v>298</v>
      </c>
      <c r="R6" t="s">
        <v>299</v>
      </c>
      <c r="S6" s="4">
        <f t="shared" si="3"/>
        <v>44.8128304706051</v>
      </c>
      <c r="T6" t="s">
        <v>300</v>
      </c>
      <c r="U6" s="4">
        <f t="shared" si="4"/>
        <v>18.603941960160299</v>
      </c>
      <c r="V6" t="s">
        <v>301</v>
      </c>
      <c r="W6" t="s">
        <v>302</v>
      </c>
      <c r="X6" t="s">
        <v>303</v>
      </c>
      <c r="Y6" t="s">
        <v>304</v>
      </c>
    </row>
    <row r="7" spans="1:25" x14ac:dyDescent="0.25">
      <c r="A7" t="s">
        <v>6</v>
      </c>
      <c r="B7">
        <v>73.793315474833804</v>
      </c>
      <c r="C7">
        <v>30.040118798268701</v>
      </c>
      <c r="D7" s="2" t="s">
        <v>150</v>
      </c>
      <c r="F7" s="5" t="str">
        <f t="shared" si="0"/>
        <v>New "Load.M2_m2_trf_5286788a" bus1="82023395286788.1.2.3.4" phases=3 conn=Wye model=3 kv=0.380 kw=73,7933154748338 kvar=30,0401187982687 daily="RES-Tipo3_DU" status=variable vmaxpu=1.5 vminpu=0.92</v>
      </c>
      <c r="G7" t="s">
        <v>290</v>
      </c>
      <c r="H7" t="s">
        <v>291</v>
      </c>
      <c r="I7" s="4" t="str">
        <f t="shared" si="1"/>
        <v>m2_trf_5286788a</v>
      </c>
      <c r="J7" t="s">
        <v>292</v>
      </c>
      <c r="K7" t="s">
        <v>293</v>
      </c>
      <c r="L7" t="str">
        <f t="shared" si="2"/>
        <v>82023395286788</v>
      </c>
      <c r="M7" t="s">
        <v>294</v>
      </c>
      <c r="N7" t="s">
        <v>295</v>
      </c>
      <c r="O7" t="s">
        <v>296</v>
      </c>
      <c r="P7" t="s">
        <v>297</v>
      </c>
      <c r="Q7" t="s">
        <v>298</v>
      </c>
      <c r="R7" t="s">
        <v>299</v>
      </c>
      <c r="S7" s="4">
        <f t="shared" si="3"/>
        <v>73.793315474833804</v>
      </c>
      <c r="T7" t="s">
        <v>300</v>
      </c>
      <c r="U7" s="4">
        <f t="shared" si="4"/>
        <v>30.040118798268701</v>
      </c>
      <c r="V7" t="s">
        <v>301</v>
      </c>
      <c r="W7" t="s">
        <v>302</v>
      </c>
      <c r="X7" t="s">
        <v>303</v>
      </c>
      <c r="Y7" t="s">
        <v>304</v>
      </c>
    </row>
    <row r="8" spans="1:25" x14ac:dyDescent="0.25">
      <c r="A8" t="s">
        <v>7</v>
      </c>
      <c r="B8">
        <v>29.403779086828301</v>
      </c>
      <c r="C8">
        <v>12.1704751102318</v>
      </c>
      <c r="D8" s="2" t="s">
        <v>151</v>
      </c>
      <c r="F8" s="5" t="str">
        <f t="shared" si="0"/>
        <v>New "Load.M2_m2_trf_5286789a" bus1="82022295286789.1.2.3.4" phases=3 conn=Wye model=3 kv=0.380 kw=29,4037790868283 kvar=12,1704751102318 daily="RES-Tipo3_DU" status=variable vmaxpu=1.5 vminpu=0.92</v>
      </c>
      <c r="G8" t="s">
        <v>290</v>
      </c>
      <c r="H8" t="s">
        <v>291</v>
      </c>
      <c r="I8" s="4" t="str">
        <f t="shared" si="1"/>
        <v>m2_trf_5286789a</v>
      </c>
      <c r="J8" t="s">
        <v>292</v>
      </c>
      <c r="K8" t="s">
        <v>293</v>
      </c>
      <c r="L8" t="str">
        <f t="shared" si="2"/>
        <v>82022295286789</v>
      </c>
      <c r="M8" t="s">
        <v>294</v>
      </c>
      <c r="N8" t="s">
        <v>295</v>
      </c>
      <c r="O8" t="s">
        <v>296</v>
      </c>
      <c r="P8" t="s">
        <v>297</v>
      </c>
      <c r="Q8" t="s">
        <v>298</v>
      </c>
      <c r="R8" t="s">
        <v>299</v>
      </c>
      <c r="S8" s="4">
        <f t="shared" si="3"/>
        <v>29.403779086828301</v>
      </c>
      <c r="T8" t="s">
        <v>300</v>
      </c>
      <c r="U8" s="4">
        <f t="shared" si="4"/>
        <v>12.1704751102318</v>
      </c>
      <c r="V8" t="s">
        <v>301</v>
      </c>
      <c r="W8" t="s">
        <v>302</v>
      </c>
      <c r="X8" t="s">
        <v>303</v>
      </c>
      <c r="Y8" t="s">
        <v>304</v>
      </c>
    </row>
    <row r="9" spans="1:25" x14ac:dyDescent="0.25">
      <c r="A9" t="s">
        <v>8</v>
      </c>
      <c r="B9">
        <v>46.709459712351702</v>
      </c>
      <c r="C9">
        <v>19.498022828696602</v>
      </c>
      <c r="D9" s="2" t="s">
        <v>152</v>
      </c>
      <c r="F9" s="5" t="str">
        <f t="shared" si="0"/>
        <v>New "Load.M2_m2_trf_5286790a" bus1="82022455286790.1.2.3.4" phases=3 conn=Wye model=3 kv=0.380 kw=46,7094597123517 kvar=19,4980228286966 daily="RES-Tipo3_DU" status=variable vmaxpu=1.5 vminpu=0.92</v>
      </c>
      <c r="G9" t="s">
        <v>290</v>
      </c>
      <c r="H9" t="s">
        <v>291</v>
      </c>
      <c r="I9" s="4" t="str">
        <f t="shared" si="1"/>
        <v>m2_trf_5286790a</v>
      </c>
      <c r="J9" t="s">
        <v>292</v>
      </c>
      <c r="K9" t="s">
        <v>293</v>
      </c>
      <c r="L9" t="str">
        <f t="shared" si="2"/>
        <v>82022455286790</v>
      </c>
      <c r="M9" t="s">
        <v>294</v>
      </c>
      <c r="N9" t="s">
        <v>295</v>
      </c>
      <c r="O9" t="s">
        <v>296</v>
      </c>
      <c r="P9" t="s">
        <v>297</v>
      </c>
      <c r="Q9" t="s">
        <v>298</v>
      </c>
      <c r="R9" t="s">
        <v>299</v>
      </c>
      <c r="S9" s="4">
        <f t="shared" si="3"/>
        <v>46.709459712351702</v>
      </c>
      <c r="T9" t="s">
        <v>300</v>
      </c>
      <c r="U9" s="4">
        <f t="shared" si="4"/>
        <v>19.498022828696602</v>
      </c>
      <c r="V9" t="s">
        <v>301</v>
      </c>
      <c r="W9" t="s">
        <v>302</v>
      </c>
      <c r="X9" t="s">
        <v>303</v>
      </c>
      <c r="Y9" t="s">
        <v>304</v>
      </c>
    </row>
    <row r="10" spans="1:25" x14ac:dyDescent="0.25">
      <c r="A10" t="s">
        <v>9</v>
      </c>
      <c r="B10">
        <v>53.968027565444302</v>
      </c>
      <c r="C10">
        <v>22.3515260804093</v>
      </c>
      <c r="D10" s="2" t="s">
        <v>153</v>
      </c>
      <c r="F10" s="5" t="str">
        <f t="shared" si="0"/>
        <v>New "Load.M2_m2_trf_5286791a" bus1="82022605286791.1.2.3.4" phases=3 conn=Wye model=3 kv=0.380 kw=53,9680275654443 kvar=22,3515260804093 daily="RES-Tipo3_DU" status=variable vmaxpu=1.5 vminpu=0.92</v>
      </c>
      <c r="G10" t="s">
        <v>290</v>
      </c>
      <c r="H10" t="s">
        <v>291</v>
      </c>
      <c r="I10" s="4" t="str">
        <f t="shared" si="1"/>
        <v>m2_trf_5286791a</v>
      </c>
      <c r="J10" t="s">
        <v>292</v>
      </c>
      <c r="K10" t="s">
        <v>293</v>
      </c>
      <c r="L10" t="str">
        <f t="shared" si="2"/>
        <v>82022605286791</v>
      </c>
      <c r="M10" t="s">
        <v>294</v>
      </c>
      <c r="N10" t="s">
        <v>295</v>
      </c>
      <c r="O10" t="s">
        <v>296</v>
      </c>
      <c r="P10" t="s">
        <v>297</v>
      </c>
      <c r="Q10" t="s">
        <v>298</v>
      </c>
      <c r="R10" t="s">
        <v>299</v>
      </c>
      <c r="S10" s="4">
        <f t="shared" si="3"/>
        <v>53.968027565444302</v>
      </c>
      <c r="T10" t="s">
        <v>300</v>
      </c>
      <c r="U10" s="4">
        <f t="shared" si="4"/>
        <v>22.3515260804093</v>
      </c>
      <c r="V10" t="s">
        <v>301</v>
      </c>
      <c r="W10" t="s">
        <v>302</v>
      </c>
      <c r="X10" t="s">
        <v>303</v>
      </c>
      <c r="Y10" t="s">
        <v>304</v>
      </c>
    </row>
    <row r="11" spans="1:25" x14ac:dyDescent="0.25">
      <c r="A11" t="s">
        <v>10</v>
      </c>
      <c r="B11">
        <v>44.619274123807898</v>
      </c>
      <c r="C11">
        <v>18.417287561102899</v>
      </c>
      <c r="D11" s="2" t="s">
        <v>154</v>
      </c>
      <c r="F11" s="5" t="str">
        <f t="shared" si="0"/>
        <v>New "Load.M2_m2_trf_5286792a" bus1="82019965286792.1.2.3.4" phases=3 conn=Wye model=3 kv=0.380 kw=44,6192741238079 kvar=18,4172875611029 daily="RES-Tipo3_DU" status=variable vmaxpu=1.5 vminpu=0.92</v>
      </c>
      <c r="G11" t="s">
        <v>290</v>
      </c>
      <c r="H11" t="s">
        <v>291</v>
      </c>
      <c r="I11" s="4" t="str">
        <f t="shared" si="1"/>
        <v>m2_trf_5286792a</v>
      </c>
      <c r="J11" t="s">
        <v>292</v>
      </c>
      <c r="K11" t="s">
        <v>293</v>
      </c>
      <c r="L11" t="str">
        <f t="shared" si="2"/>
        <v>82019965286792</v>
      </c>
      <c r="M11" t="s">
        <v>294</v>
      </c>
      <c r="N11" t="s">
        <v>295</v>
      </c>
      <c r="O11" t="s">
        <v>296</v>
      </c>
      <c r="P11" t="s">
        <v>297</v>
      </c>
      <c r="Q11" t="s">
        <v>298</v>
      </c>
      <c r="R11" t="s">
        <v>299</v>
      </c>
      <c r="S11" s="4">
        <f t="shared" si="3"/>
        <v>44.619274123807898</v>
      </c>
      <c r="T11" t="s">
        <v>300</v>
      </c>
      <c r="U11" s="4">
        <f t="shared" si="4"/>
        <v>18.417287561102899</v>
      </c>
      <c r="V11" t="s">
        <v>301</v>
      </c>
      <c r="W11" t="s">
        <v>302</v>
      </c>
      <c r="X11" t="s">
        <v>303</v>
      </c>
      <c r="Y11" t="s">
        <v>304</v>
      </c>
    </row>
    <row r="12" spans="1:25" x14ac:dyDescent="0.25">
      <c r="A12" t="s">
        <v>11</v>
      </c>
      <c r="B12">
        <v>27.134437625905399</v>
      </c>
      <c r="C12">
        <v>11.222555034236301</v>
      </c>
      <c r="D12" s="2" t="s">
        <v>155</v>
      </c>
      <c r="F12" s="5" t="str">
        <f t="shared" si="0"/>
        <v>New "Load.M2_m2_trf_5286793a" bus1="82020055286793.1.2.3.4" phases=3 conn=Wye model=3 kv=0.380 kw=27,1344376259054 kvar=11,2225550342363 daily="RES-Tipo3_DU" status=variable vmaxpu=1.5 vminpu=0.92</v>
      </c>
      <c r="G12" t="s">
        <v>290</v>
      </c>
      <c r="H12" t="s">
        <v>291</v>
      </c>
      <c r="I12" s="4" t="str">
        <f t="shared" si="1"/>
        <v>m2_trf_5286793a</v>
      </c>
      <c r="J12" t="s">
        <v>292</v>
      </c>
      <c r="K12" t="s">
        <v>293</v>
      </c>
      <c r="L12" t="str">
        <f t="shared" si="2"/>
        <v>82020055286793</v>
      </c>
      <c r="M12" t="s">
        <v>294</v>
      </c>
      <c r="N12" t="s">
        <v>295</v>
      </c>
      <c r="O12" t="s">
        <v>296</v>
      </c>
      <c r="P12" t="s">
        <v>297</v>
      </c>
      <c r="Q12" t="s">
        <v>298</v>
      </c>
      <c r="R12" t="s">
        <v>299</v>
      </c>
      <c r="S12" s="4">
        <f t="shared" si="3"/>
        <v>27.134437625905399</v>
      </c>
      <c r="T12" t="s">
        <v>300</v>
      </c>
      <c r="U12" s="4">
        <f t="shared" si="4"/>
        <v>11.222555034236301</v>
      </c>
      <c r="V12" t="s">
        <v>301</v>
      </c>
      <c r="W12" t="s">
        <v>302</v>
      </c>
      <c r="X12" t="s">
        <v>303</v>
      </c>
      <c r="Y12" t="s">
        <v>304</v>
      </c>
    </row>
    <row r="13" spans="1:25" x14ac:dyDescent="0.25">
      <c r="A13" t="s">
        <v>12</v>
      </c>
      <c r="B13">
        <v>66.083964341415907</v>
      </c>
      <c r="C13">
        <v>27.3520602481018</v>
      </c>
      <c r="D13" s="2" t="s">
        <v>156</v>
      </c>
      <c r="F13" s="5" t="str">
        <f t="shared" si="0"/>
        <v>New "Load.M2_m2_trf_5286794a" bus1="82020175286794.1.2.3.4" phases=3 conn=Wye model=3 kv=0.380 kw=66,0839643414159 kvar=27,3520602481018 daily="RES-Tipo3_DU" status=variable vmaxpu=1.5 vminpu=0.92</v>
      </c>
      <c r="G13" t="s">
        <v>290</v>
      </c>
      <c r="H13" t="s">
        <v>291</v>
      </c>
      <c r="I13" s="4" t="str">
        <f t="shared" si="1"/>
        <v>m2_trf_5286794a</v>
      </c>
      <c r="J13" t="s">
        <v>292</v>
      </c>
      <c r="K13" t="s">
        <v>293</v>
      </c>
      <c r="L13" t="str">
        <f t="shared" si="2"/>
        <v>82020175286794</v>
      </c>
      <c r="M13" t="s">
        <v>294</v>
      </c>
      <c r="N13" t="s">
        <v>295</v>
      </c>
      <c r="O13" t="s">
        <v>296</v>
      </c>
      <c r="P13" t="s">
        <v>297</v>
      </c>
      <c r="Q13" t="s">
        <v>298</v>
      </c>
      <c r="R13" t="s">
        <v>299</v>
      </c>
      <c r="S13" s="4">
        <f t="shared" si="3"/>
        <v>66.083964341415907</v>
      </c>
      <c r="T13" t="s">
        <v>300</v>
      </c>
      <c r="U13" s="4">
        <f t="shared" si="4"/>
        <v>27.3520602481018</v>
      </c>
      <c r="V13" t="s">
        <v>301</v>
      </c>
      <c r="W13" t="s">
        <v>302</v>
      </c>
      <c r="X13" t="s">
        <v>303</v>
      </c>
      <c r="Y13" t="s">
        <v>304</v>
      </c>
    </row>
    <row r="14" spans="1:25" x14ac:dyDescent="0.25">
      <c r="A14" t="s">
        <v>13</v>
      </c>
      <c r="B14">
        <v>47.345760126934799</v>
      </c>
      <c r="C14">
        <v>19.694890669098399</v>
      </c>
      <c r="D14" s="2" t="s">
        <v>157</v>
      </c>
      <c r="F14" s="5" t="str">
        <f t="shared" si="0"/>
        <v>New "Load.M2_m2_trf_5286795a" bus1="82020405286795.1.2.3.4" phases=3 conn=Wye model=3 kv=0.380 kw=47,3457601269348 kvar=19,6948906690984 daily="RES-Tipo3_DU" status=variable vmaxpu=1.5 vminpu=0.92</v>
      </c>
      <c r="G14" t="s">
        <v>290</v>
      </c>
      <c r="H14" t="s">
        <v>291</v>
      </c>
      <c r="I14" s="4" t="str">
        <f t="shared" si="1"/>
        <v>m2_trf_5286795a</v>
      </c>
      <c r="J14" t="s">
        <v>292</v>
      </c>
      <c r="K14" t="s">
        <v>293</v>
      </c>
      <c r="L14" t="str">
        <f t="shared" si="2"/>
        <v>82020405286795</v>
      </c>
      <c r="M14" t="s">
        <v>294</v>
      </c>
      <c r="N14" t="s">
        <v>295</v>
      </c>
      <c r="O14" t="s">
        <v>296</v>
      </c>
      <c r="P14" t="s">
        <v>297</v>
      </c>
      <c r="Q14" t="s">
        <v>298</v>
      </c>
      <c r="R14" t="s">
        <v>299</v>
      </c>
      <c r="S14" s="4">
        <f t="shared" si="3"/>
        <v>47.345760126934799</v>
      </c>
      <c r="T14" t="s">
        <v>300</v>
      </c>
      <c r="U14" s="4">
        <f t="shared" si="4"/>
        <v>19.694890669098399</v>
      </c>
      <c r="V14" t="s">
        <v>301</v>
      </c>
      <c r="W14" t="s">
        <v>302</v>
      </c>
      <c r="X14" t="s">
        <v>303</v>
      </c>
      <c r="Y14" t="s">
        <v>304</v>
      </c>
    </row>
    <row r="15" spans="1:25" x14ac:dyDescent="0.25">
      <c r="A15" t="s">
        <v>14</v>
      </c>
      <c r="B15">
        <v>36.474462084413801</v>
      </c>
      <c r="C15">
        <v>15.1013372476957</v>
      </c>
      <c r="D15" s="2" t="s">
        <v>158</v>
      </c>
      <c r="F15" s="5" t="str">
        <f t="shared" si="0"/>
        <v>New "Load.M2_m2_trf_5286796a" bus1="82020555286796.1.2.3.4" phases=3 conn=Wye model=3 kv=0.380 kw=36,4744620844138 kvar=15,1013372476957 daily="RES-Tipo3_DU" status=variable vmaxpu=1.5 vminpu=0.92</v>
      </c>
      <c r="G15" t="s">
        <v>290</v>
      </c>
      <c r="H15" t="s">
        <v>291</v>
      </c>
      <c r="I15" s="4" t="str">
        <f t="shared" si="1"/>
        <v>m2_trf_5286796a</v>
      </c>
      <c r="J15" t="s">
        <v>292</v>
      </c>
      <c r="K15" t="s">
        <v>293</v>
      </c>
      <c r="L15" t="str">
        <f t="shared" si="2"/>
        <v>82020555286796</v>
      </c>
      <c r="M15" t="s">
        <v>294</v>
      </c>
      <c r="N15" t="s">
        <v>295</v>
      </c>
      <c r="O15" t="s">
        <v>296</v>
      </c>
      <c r="P15" t="s">
        <v>297</v>
      </c>
      <c r="Q15" t="s">
        <v>298</v>
      </c>
      <c r="R15" t="s">
        <v>299</v>
      </c>
      <c r="S15" s="4">
        <f t="shared" si="3"/>
        <v>36.474462084413801</v>
      </c>
      <c r="T15" t="s">
        <v>300</v>
      </c>
      <c r="U15" s="4">
        <f t="shared" si="4"/>
        <v>15.1013372476957</v>
      </c>
      <c r="V15" t="s">
        <v>301</v>
      </c>
      <c r="W15" t="s">
        <v>302</v>
      </c>
      <c r="X15" t="s">
        <v>303</v>
      </c>
      <c r="Y15" t="s">
        <v>304</v>
      </c>
    </row>
    <row r="16" spans="1:25" x14ac:dyDescent="0.25">
      <c r="A16" t="s">
        <v>15</v>
      </c>
      <c r="B16">
        <v>23.3779623215367</v>
      </c>
      <c r="C16">
        <v>9.7181994241097591</v>
      </c>
      <c r="D16" s="2" t="s">
        <v>159</v>
      </c>
      <c r="F16" s="5" t="str">
        <f t="shared" si="0"/>
        <v>New "Load.M2_m2_trf_5286797a" bus1="82020675286797.1.2.3.4" phases=3 conn=Wye model=3 kv=0.380 kw=23,3779623215367 kvar=9,71819942410976 daily="RES-Tipo3_DU" status=variable vmaxpu=1.5 vminpu=0.92</v>
      </c>
      <c r="G16" t="s">
        <v>290</v>
      </c>
      <c r="H16" t="s">
        <v>291</v>
      </c>
      <c r="I16" s="4" t="str">
        <f t="shared" si="1"/>
        <v>m2_trf_5286797a</v>
      </c>
      <c r="J16" t="s">
        <v>292</v>
      </c>
      <c r="K16" t="s">
        <v>293</v>
      </c>
      <c r="L16" t="str">
        <f t="shared" si="2"/>
        <v>82020675286797</v>
      </c>
      <c r="M16" t="s">
        <v>294</v>
      </c>
      <c r="N16" t="s">
        <v>295</v>
      </c>
      <c r="O16" t="s">
        <v>296</v>
      </c>
      <c r="P16" t="s">
        <v>297</v>
      </c>
      <c r="Q16" t="s">
        <v>298</v>
      </c>
      <c r="R16" t="s">
        <v>299</v>
      </c>
      <c r="S16" s="4">
        <f t="shared" si="3"/>
        <v>23.3779623215367</v>
      </c>
      <c r="T16" t="s">
        <v>300</v>
      </c>
      <c r="U16" s="4">
        <f t="shared" si="4"/>
        <v>9.7181994241097591</v>
      </c>
      <c r="V16" t="s">
        <v>301</v>
      </c>
      <c r="W16" t="s">
        <v>302</v>
      </c>
      <c r="X16" t="s">
        <v>303</v>
      </c>
      <c r="Y16" t="s">
        <v>304</v>
      </c>
    </row>
    <row r="17" spans="1:25" x14ac:dyDescent="0.25">
      <c r="A17" t="s">
        <v>16</v>
      </c>
      <c r="B17">
        <v>27.382764404700598</v>
      </c>
      <c r="C17">
        <v>11.338275915726999</v>
      </c>
      <c r="D17" s="2" t="s">
        <v>160</v>
      </c>
      <c r="F17" s="5" t="str">
        <f t="shared" si="0"/>
        <v>New "Load.M2_m2_trf_5286798a" bus1="82021885286798.1.2.3.4" phases=3 conn=Wye model=3 kv=0.380 kw=27,3827644047006 kvar=11,338275915727 daily="RES-Tipo3_DU" status=variable vmaxpu=1.5 vminpu=0.92</v>
      </c>
      <c r="G17" t="s">
        <v>290</v>
      </c>
      <c r="H17" t="s">
        <v>291</v>
      </c>
      <c r="I17" s="4" t="str">
        <f t="shared" si="1"/>
        <v>m2_trf_5286798a</v>
      </c>
      <c r="J17" t="s">
        <v>292</v>
      </c>
      <c r="K17" t="s">
        <v>293</v>
      </c>
      <c r="L17" t="str">
        <f t="shared" si="2"/>
        <v>82021885286798</v>
      </c>
      <c r="M17" t="s">
        <v>294</v>
      </c>
      <c r="N17" t="s">
        <v>295</v>
      </c>
      <c r="O17" t="s">
        <v>296</v>
      </c>
      <c r="P17" t="s">
        <v>297</v>
      </c>
      <c r="Q17" t="s">
        <v>298</v>
      </c>
      <c r="R17" t="s">
        <v>299</v>
      </c>
      <c r="S17" s="4">
        <f t="shared" si="3"/>
        <v>27.382764404700598</v>
      </c>
      <c r="T17" t="s">
        <v>300</v>
      </c>
      <c r="U17" s="4">
        <f t="shared" si="4"/>
        <v>11.338275915726999</v>
      </c>
      <c r="V17" t="s">
        <v>301</v>
      </c>
      <c r="W17" t="s">
        <v>302</v>
      </c>
      <c r="X17" t="s">
        <v>303</v>
      </c>
      <c r="Y17" t="s">
        <v>304</v>
      </c>
    </row>
    <row r="18" spans="1:25" x14ac:dyDescent="0.25">
      <c r="A18" t="s">
        <v>17</v>
      </c>
      <c r="B18">
        <v>55.897825551802001</v>
      </c>
      <c r="C18">
        <v>23.0385118616115</v>
      </c>
      <c r="D18" s="2" t="s">
        <v>161</v>
      </c>
      <c r="F18" s="5" t="str">
        <f t="shared" si="0"/>
        <v>New "Load.M2_m2_trf_5286799a" bus1="82021995286799.1.2.3.4" phases=3 conn=Wye model=3 kv=0.380 kw=55,897825551802 kvar=23,0385118616115 daily="RES-Tipo3_DU" status=variable vmaxpu=1.5 vminpu=0.92</v>
      </c>
      <c r="G18" t="s">
        <v>290</v>
      </c>
      <c r="H18" t="s">
        <v>291</v>
      </c>
      <c r="I18" s="4" t="str">
        <f t="shared" si="1"/>
        <v>m2_trf_5286799a</v>
      </c>
      <c r="J18" t="s">
        <v>292</v>
      </c>
      <c r="K18" t="s">
        <v>293</v>
      </c>
      <c r="L18" t="str">
        <f t="shared" si="2"/>
        <v>82021995286799</v>
      </c>
      <c r="M18" t="s">
        <v>294</v>
      </c>
      <c r="N18" t="s">
        <v>295</v>
      </c>
      <c r="O18" t="s">
        <v>296</v>
      </c>
      <c r="P18" t="s">
        <v>297</v>
      </c>
      <c r="Q18" t="s">
        <v>298</v>
      </c>
      <c r="R18" t="s">
        <v>299</v>
      </c>
      <c r="S18" s="4">
        <f t="shared" si="3"/>
        <v>55.897825551802001</v>
      </c>
      <c r="T18" t="s">
        <v>300</v>
      </c>
      <c r="U18" s="4">
        <f t="shared" si="4"/>
        <v>23.0385118616115</v>
      </c>
      <c r="V18" t="s">
        <v>301</v>
      </c>
      <c r="W18" t="s">
        <v>302</v>
      </c>
      <c r="X18" t="s">
        <v>303</v>
      </c>
      <c r="Y18" t="s">
        <v>304</v>
      </c>
    </row>
    <row r="19" spans="1:25" x14ac:dyDescent="0.25">
      <c r="A19" t="s">
        <v>18</v>
      </c>
      <c r="B19">
        <v>47.971606068601503</v>
      </c>
      <c r="C19">
        <v>19.854917819864301</v>
      </c>
      <c r="D19" s="2" t="s">
        <v>162</v>
      </c>
      <c r="F19" s="5" t="str">
        <f t="shared" si="0"/>
        <v>New "Load.M2_m2_trf_5286800a" bus1="82024325286800.1.2.3.4" phases=3 conn=Wye model=3 kv=0.380 kw=47,9716060686015 kvar=19,8549178198643 daily="RES-Tipo3_DU" status=variable vmaxpu=1.5 vminpu=0.92</v>
      </c>
      <c r="G19" t="s">
        <v>290</v>
      </c>
      <c r="H19" t="s">
        <v>291</v>
      </c>
      <c r="I19" s="4" t="str">
        <f t="shared" si="1"/>
        <v>m2_trf_5286800a</v>
      </c>
      <c r="J19" t="s">
        <v>292</v>
      </c>
      <c r="K19" t="s">
        <v>293</v>
      </c>
      <c r="L19" t="str">
        <f t="shared" si="2"/>
        <v>82024325286800</v>
      </c>
      <c r="M19" t="s">
        <v>294</v>
      </c>
      <c r="N19" t="s">
        <v>295</v>
      </c>
      <c r="O19" t="s">
        <v>296</v>
      </c>
      <c r="P19" t="s">
        <v>297</v>
      </c>
      <c r="Q19" t="s">
        <v>298</v>
      </c>
      <c r="R19" t="s">
        <v>299</v>
      </c>
      <c r="S19" s="4">
        <f t="shared" si="3"/>
        <v>47.971606068601503</v>
      </c>
      <c r="T19" t="s">
        <v>300</v>
      </c>
      <c r="U19" s="4">
        <f t="shared" si="4"/>
        <v>19.854917819864301</v>
      </c>
      <c r="V19" t="s">
        <v>301</v>
      </c>
      <c r="W19" t="s">
        <v>302</v>
      </c>
      <c r="X19" t="s">
        <v>303</v>
      </c>
      <c r="Y19" t="s">
        <v>304</v>
      </c>
    </row>
    <row r="20" spans="1:25" x14ac:dyDescent="0.25">
      <c r="A20" t="s">
        <v>19</v>
      </c>
      <c r="B20">
        <v>33.942540298909201</v>
      </c>
      <c r="C20">
        <v>14.0571646055584</v>
      </c>
      <c r="D20" s="2" t="s">
        <v>163</v>
      </c>
      <c r="F20" s="5" t="str">
        <f t="shared" si="0"/>
        <v>New "Load.M2_m2_trf_5286801a" bus1="82022225286801.1.2.3.4" phases=3 conn=Wye model=3 kv=0.380 kw=33,9425402989092 kvar=14,0571646055584 daily="RES-Tipo3_DU" status=variable vmaxpu=1.5 vminpu=0.92</v>
      </c>
      <c r="G20" t="s">
        <v>290</v>
      </c>
      <c r="H20" t="s">
        <v>291</v>
      </c>
      <c r="I20" s="4" t="str">
        <f t="shared" si="1"/>
        <v>m2_trf_5286801a</v>
      </c>
      <c r="J20" t="s">
        <v>292</v>
      </c>
      <c r="K20" t="s">
        <v>293</v>
      </c>
      <c r="L20" t="str">
        <f t="shared" si="2"/>
        <v>82022225286801</v>
      </c>
      <c r="M20" t="s">
        <v>294</v>
      </c>
      <c r="N20" t="s">
        <v>295</v>
      </c>
      <c r="O20" t="s">
        <v>296</v>
      </c>
      <c r="P20" t="s">
        <v>297</v>
      </c>
      <c r="Q20" t="s">
        <v>298</v>
      </c>
      <c r="R20" t="s">
        <v>299</v>
      </c>
      <c r="S20" s="4">
        <f t="shared" si="3"/>
        <v>33.942540298909201</v>
      </c>
      <c r="T20" t="s">
        <v>300</v>
      </c>
      <c r="U20" s="4">
        <f t="shared" si="4"/>
        <v>14.0571646055584</v>
      </c>
      <c r="V20" t="s">
        <v>301</v>
      </c>
      <c r="W20" t="s">
        <v>302</v>
      </c>
      <c r="X20" t="s">
        <v>303</v>
      </c>
      <c r="Y20" t="s">
        <v>304</v>
      </c>
    </row>
    <row r="21" spans="1:25" x14ac:dyDescent="0.25">
      <c r="A21" t="s">
        <v>20</v>
      </c>
      <c r="B21">
        <v>29.0201410912608</v>
      </c>
      <c r="C21">
        <v>11.967545432086</v>
      </c>
      <c r="D21" s="2" t="s">
        <v>164</v>
      </c>
      <c r="F21" s="5" t="str">
        <f t="shared" si="0"/>
        <v>New "Load.M2_m2_trf_5286802a" bus1="82021615286802.1.2.3.4" phases=3 conn=Wye model=3 kv=0.380 kw=29,0201410912608 kvar=11,967545432086 daily="RES-Tipo3_DU" status=variable vmaxpu=1.5 vminpu=0.92</v>
      </c>
      <c r="G21" t="s">
        <v>290</v>
      </c>
      <c r="H21" t="s">
        <v>291</v>
      </c>
      <c r="I21" s="4" t="str">
        <f t="shared" si="1"/>
        <v>m2_trf_5286802a</v>
      </c>
      <c r="J21" t="s">
        <v>292</v>
      </c>
      <c r="K21" t="s">
        <v>293</v>
      </c>
      <c r="L21" t="str">
        <f t="shared" si="2"/>
        <v>82021615286802</v>
      </c>
      <c r="M21" t="s">
        <v>294</v>
      </c>
      <c r="N21" t="s">
        <v>295</v>
      </c>
      <c r="O21" t="s">
        <v>296</v>
      </c>
      <c r="P21" t="s">
        <v>297</v>
      </c>
      <c r="Q21" t="s">
        <v>298</v>
      </c>
      <c r="R21" t="s">
        <v>299</v>
      </c>
      <c r="S21" s="4">
        <f t="shared" si="3"/>
        <v>29.0201410912608</v>
      </c>
      <c r="T21" t="s">
        <v>300</v>
      </c>
      <c r="U21" s="4">
        <f t="shared" si="4"/>
        <v>11.967545432086</v>
      </c>
      <c r="V21" t="s">
        <v>301</v>
      </c>
      <c r="W21" t="s">
        <v>302</v>
      </c>
      <c r="X21" t="s">
        <v>303</v>
      </c>
      <c r="Y21" t="s">
        <v>304</v>
      </c>
    </row>
    <row r="22" spans="1:25" x14ac:dyDescent="0.25">
      <c r="A22" t="s">
        <v>21</v>
      </c>
      <c r="B22">
        <v>55.684572196198602</v>
      </c>
      <c r="C22">
        <v>22.667462041839201</v>
      </c>
      <c r="D22" s="2" t="s">
        <v>165</v>
      </c>
      <c r="F22" s="5" t="str">
        <f t="shared" si="0"/>
        <v>New "Load.M2_m2_trf_5286803a" bus1="82036745286803.1.2.3.4" phases=3 conn=Wye model=3 kv=0.380 kw=55,6845721961986 kvar=22,6674620418392 daily="RES-Tipo3_DU" status=variable vmaxpu=1.5 vminpu=0.92</v>
      </c>
      <c r="G22" t="s">
        <v>290</v>
      </c>
      <c r="H22" t="s">
        <v>291</v>
      </c>
      <c r="I22" s="4" t="str">
        <f t="shared" si="1"/>
        <v>m2_trf_5286803a</v>
      </c>
      <c r="J22" t="s">
        <v>292</v>
      </c>
      <c r="K22" t="s">
        <v>293</v>
      </c>
      <c r="L22" t="str">
        <f t="shared" si="2"/>
        <v>82036745286803</v>
      </c>
      <c r="M22" t="s">
        <v>294</v>
      </c>
      <c r="N22" t="s">
        <v>295</v>
      </c>
      <c r="O22" t="s">
        <v>296</v>
      </c>
      <c r="P22" t="s">
        <v>297</v>
      </c>
      <c r="Q22" t="s">
        <v>298</v>
      </c>
      <c r="R22" t="s">
        <v>299</v>
      </c>
      <c r="S22" s="4">
        <f t="shared" si="3"/>
        <v>55.684572196198602</v>
      </c>
      <c r="T22" t="s">
        <v>300</v>
      </c>
      <c r="U22" s="4">
        <f t="shared" si="4"/>
        <v>22.667462041839201</v>
      </c>
      <c r="V22" t="s">
        <v>301</v>
      </c>
      <c r="W22" t="s">
        <v>302</v>
      </c>
      <c r="X22" t="s">
        <v>303</v>
      </c>
      <c r="Y22" t="s">
        <v>304</v>
      </c>
    </row>
    <row r="23" spans="1:25" x14ac:dyDescent="0.25">
      <c r="A23" t="s">
        <v>22</v>
      </c>
      <c r="B23">
        <v>51.225869735265803</v>
      </c>
      <c r="C23">
        <v>20.8361894858432</v>
      </c>
      <c r="D23" s="2" t="s">
        <v>166</v>
      </c>
      <c r="F23" s="5" t="str">
        <f t="shared" si="0"/>
        <v>New "Load.M2_m2_trf_5286804a" bus1="82033055286804.1.2.3.4" phases=3 conn=Wye model=3 kv=0.380 kw=51,2258697352658 kvar=20,8361894858432 daily="RES-Tipo3_DU" status=variable vmaxpu=1.5 vminpu=0.92</v>
      </c>
      <c r="G23" t="s">
        <v>290</v>
      </c>
      <c r="H23" t="s">
        <v>291</v>
      </c>
      <c r="I23" s="4" t="str">
        <f t="shared" si="1"/>
        <v>m2_trf_5286804a</v>
      </c>
      <c r="J23" t="s">
        <v>292</v>
      </c>
      <c r="K23" t="s">
        <v>293</v>
      </c>
      <c r="L23" t="str">
        <f t="shared" si="2"/>
        <v>82033055286804</v>
      </c>
      <c r="M23" t="s">
        <v>294</v>
      </c>
      <c r="N23" t="s">
        <v>295</v>
      </c>
      <c r="O23" t="s">
        <v>296</v>
      </c>
      <c r="P23" t="s">
        <v>297</v>
      </c>
      <c r="Q23" t="s">
        <v>298</v>
      </c>
      <c r="R23" t="s">
        <v>299</v>
      </c>
      <c r="S23" s="4">
        <f t="shared" si="3"/>
        <v>51.225869735265803</v>
      </c>
      <c r="T23" t="s">
        <v>300</v>
      </c>
      <c r="U23" s="4">
        <f t="shared" si="4"/>
        <v>20.8361894858432</v>
      </c>
      <c r="V23" t="s">
        <v>301</v>
      </c>
      <c r="W23" t="s">
        <v>302</v>
      </c>
      <c r="X23" t="s">
        <v>303</v>
      </c>
      <c r="Y23" t="s">
        <v>304</v>
      </c>
    </row>
    <row r="24" spans="1:25" x14ac:dyDescent="0.25">
      <c r="A24" t="s">
        <v>23</v>
      </c>
      <c r="B24">
        <v>34.420879154286602</v>
      </c>
      <c r="C24">
        <v>14.1101828000659</v>
      </c>
      <c r="D24" s="2" t="s">
        <v>167</v>
      </c>
      <c r="F24" s="5" t="str">
        <f t="shared" si="0"/>
        <v>New "Load.M2_m2_trf_5286805a" bus1="82033395286805.1.2.3.4" phases=3 conn=Wye model=3 kv=0.380 kw=34,4208791542866 kvar=14,1101828000659 daily="RES-Tipo3_DU" status=variable vmaxpu=1.5 vminpu=0.92</v>
      </c>
      <c r="G24" t="s">
        <v>290</v>
      </c>
      <c r="H24" t="s">
        <v>291</v>
      </c>
      <c r="I24" s="4" t="str">
        <f t="shared" si="1"/>
        <v>m2_trf_5286805a</v>
      </c>
      <c r="J24" t="s">
        <v>292</v>
      </c>
      <c r="K24" t="s">
        <v>293</v>
      </c>
      <c r="L24" t="str">
        <f t="shared" si="2"/>
        <v>82033395286805</v>
      </c>
      <c r="M24" t="s">
        <v>294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s="4">
        <f t="shared" si="3"/>
        <v>34.420879154286602</v>
      </c>
      <c r="T24" t="s">
        <v>300</v>
      </c>
      <c r="U24" s="4">
        <f t="shared" si="4"/>
        <v>14.1101828000659</v>
      </c>
      <c r="V24" t="s">
        <v>301</v>
      </c>
      <c r="W24" t="s">
        <v>302</v>
      </c>
      <c r="X24" t="s">
        <v>303</v>
      </c>
      <c r="Y24" t="s">
        <v>304</v>
      </c>
    </row>
    <row r="25" spans="1:25" x14ac:dyDescent="0.25">
      <c r="A25" t="s">
        <v>24</v>
      </c>
      <c r="B25">
        <v>44.3458303579934</v>
      </c>
      <c r="C25">
        <v>18.547102206381201</v>
      </c>
      <c r="D25" s="2" t="s">
        <v>168</v>
      </c>
      <c r="F25" s="5" t="str">
        <f t="shared" si="0"/>
        <v>New "Load.M2_m2_trf_5286806a" bus1="82024965286806.1.2.3.4" phases=3 conn=Wye model=3 kv=0.380 kw=44,3458303579934 kvar=18,5471022063812 daily="RES-Tipo3_DU" status=variable vmaxpu=1.5 vminpu=0.92</v>
      </c>
      <c r="G25" t="s">
        <v>290</v>
      </c>
      <c r="H25" t="s">
        <v>291</v>
      </c>
      <c r="I25" s="4" t="str">
        <f t="shared" si="1"/>
        <v>m2_trf_5286806a</v>
      </c>
      <c r="J25" t="s">
        <v>292</v>
      </c>
      <c r="K25" t="s">
        <v>293</v>
      </c>
      <c r="L25" t="str">
        <f t="shared" si="2"/>
        <v>82024965286806</v>
      </c>
      <c r="M25" t="s">
        <v>294</v>
      </c>
      <c r="N25" t="s">
        <v>295</v>
      </c>
      <c r="O25" t="s">
        <v>296</v>
      </c>
      <c r="P25" t="s">
        <v>297</v>
      </c>
      <c r="Q25" t="s">
        <v>298</v>
      </c>
      <c r="R25" t="s">
        <v>299</v>
      </c>
      <c r="S25" s="4">
        <f t="shared" si="3"/>
        <v>44.3458303579934</v>
      </c>
      <c r="T25" t="s">
        <v>300</v>
      </c>
      <c r="U25" s="4">
        <f t="shared" si="4"/>
        <v>18.547102206381201</v>
      </c>
      <c r="V25" t="s">
        <v>301</v>
      </c>
      <c r="W25" t="s">
        <v>302</v>
      </c>
      <c r="X25" t="s">
        <v>303</v>
      </c>
      <c r="Y25" t="s">
        <v>304</v>
      </c>
    </row>
    <row r="26" spans="1:25" x14ac:dyDescent="0.25">
      <c r="A26" t="s">
        <v>25</v>
      </c>
      <c r="B26">
        <v>62.319686241703501</v>
      </c>
      <c r="C26">
        <v>25.718124448819498</v>
      </c>
      <c r="D26" s="2" t="s">
        <v>169</v>
      </c>
      <c r="F26" s="5" t="str">
        <f t="shared" si="0"/>
        <v>New "Load.M2_m2_trf_5286807a" bus1="90855665286807.1.2.3.4" phases=3 conn=Wye model=3 kv=0.380 kw=62,3196862417035 kvar=25,7181244488195 daily="RES-Tipo3_DU" status=variable vmaxpu=1.5 vminpu=0.92</v>
      </c>
      <c r="G26" t="s">
        <v>290</v>
      </c>
      <c r="H26" t="s">
        <v>291</v>
      </c>
      <c r="I26" s="4" t="str">
        <f t="shared" si="1"/>
        <v>m2_trf_5286807a</v>
      </c>
      <c r="J26" t="s">
        <v>292</v>
      </c>
      <c r="K26" t="s">
        <v>293</v>
      </c>
      <c r="L26" t="str">
        <f t="shared" si="2"/>
        <v>90855665286807</v>
      </c>
      <c r="M26" t="s">
        <v>294</v>
      </c>
      <c r="N26" t="s">
        <v>295</v>
      </c>
      <c r="O26" t="s">
        <v>296</v>
      </c>
      <c r="P26" t="s">
        <v>297</v>
      </c>
      <c r="Q26" t="s">
        <v>298</v>
      </c>
      <c r="R26" t="s">
        <v>299</v>
      </c>
      <c r="S26" s="4">
        <f t="shared" si="3"/>
        <v>62.319686241703501</v>
      </c>
      <c r="T26" t="s">
        <v>300</v>
      </c>
      <c r="U26" s="4">
        <f t="shared" si="4"/>
        <v>25.718124448819498</v>
      </c>
      <c r="V26" t="s">
        <v>301</v>
      </c>
      <c r="W26" t="s">
        <v>302</v>
      </c>
      <c r="X26" t="s">
        <v>303</v>
      </c>
      <c r="Y26" t="s">
        <v>304</v>
      </c>
    </row>
    <row r="27" spans="1:25" x14ac:dyDescent="0.25">
      <c r="A27" t="s">
        <v>26</v>
      </c>
      <c r="B27">
        <v>63.018339793442401</v>
      </c>
      <c r="C27">
        <v>25.587932343164798</v>
      </c>
      <c r="D27" s="2" t="s">
        <v>170</v>
      </c>
      <c r="F27" s="5" t="str">
        <f t="shared" si="0"/>
        <v>New "Load.M2_m2_trf_5286808a" bus1="82027905286808.1.2.3.4" phases=3 conn=Wye model=3 kv=0.380 kw=63,0183397934424 kvar=25,5879323431648 daily="RES-Tipo3_DU" status=variable vmaxpu=1.5 vminpu=0.92</v>
      </c>
      <c r="G27" t="s">
        <v>290</v>
      </c>
      <c r="H27" t="s">
        <v>291</v>
      </c>
      <c r="I27" s="4" t="str">
        <f t="shared" si="1"/>
        <v>m2_trf_5286808a</v>
      </c>
      <c r="J27" t="s">
        <v>292</v>
      </c>
      <c r="K27" t="s">
        <v>293</v>
      </c>
      <c r="L27" t="str">
        <f t="shared" si="2"/>
        <v>82027905286808</v>
      </c>
      <c r="M27" t="s">
        <v>294</v>
      </c>
      <c r="N27" t="s">
        <v>295</v>
      </c>
      <c r="O27" t="s">
        <v>296</v>
      </c>
      <c r="P27" t="s">
        <v>297</v>
      </c>
      <c r="Q27" t="s">
        <v>298</v>
      </c>
      <c r="R27" t="s">
        <v>299</v>
      </c>
      <c r="S27" s="4">
        <f t="shared" si="3"/>
        <v>63.018339793442401</v>
      </c>
      <c r="T27" t="s">
        <v>300</v>
      </c>
      <c r="U27" s="4">
        <f t="shared" si="4"/>
        <v>25.587932343164798</v>
      </c>
      <c r="V27" t="s">
        <v>301</v>
      </c>
      <c r="W27" t="s">
        <v>302</v>
      </c>
      <c r="X27" t="s">
        <v>303</v>
      </c>
      <c r="Y27" t="s">
        <v>304</v>
      </c>
    </row>
    <row r="28" spans="1:25" x14ac:dyDescent="0.25">
      <c r="A28" t="s">
        <v>27</v>
      </c>
      <c r="B28">
        <v>44.025625225835398</v>
      </c>
      <c r="C28">
        <v>18.097852614909399</v>
      </c>
      <c r="D28" s="2" t="s">
        <v>171</v>
      </c>
      <c r="F28" s="5" t="str">
        <f t="shared" si="0"/>
        <v>New "Load.M2_m2_trf_5286809a" bus1="82028045286809.1.2.3.4" phases=3 conn=Wye model=3 kv=0.380 kw=44,0256252258354 kvar=18,0978526149094 daily="RES-Tipo3_DU" status=variable vmaxpu=1.5 vminpu=0.92</v>
      </c>
      <c r="G28" t="s">
        <v>290</v>
      </c>
      <c r="H28" t="s">
        <v>291</v>
      </c>
      <c r="I28" s="4" t="str">
        <f t="shared" si="1"/>
        <v>m2_trf_5286809a</v>
      </c>
      <c r="J28" t="s">
        <v>292</v>
      </c>
      <c r="K28" t="s">
        <v>293</v>
      </c>
      <c r="L28" t="str">
        <f t="shared" si="2"/>
        <v>82028045286809</v>
      </c>
      <c r="M28" t="s">
        <v>294</v>
      </c>
      <c r="N28" t="s">
        <v>295</v>
      </c>
      <c r="O28" t="s">
        <v>296</v>
      </c>
      <c r="P28" t="s">
        <v>297</v>
      </c>
      <c r="Q28" t="s">
        <v>298</v>
      </c>
      <c r="R28" t="s">
        <v>299</v>
      </c>
      <c r="S28" s="4">
        <f t="shared" si="3"/>
        <v>44.025625225835398</v>
      </c>
      <c r="T28" t="s">
        <v>300</v>
      </c>
      <c r="U28" s="4">
        <f t="shared" si="4"/>
        <v>18.097852614909399</v>
      </c>
      <c r="V28" t="s">
        <v>301</v>
      </c>
      <c r="W28" t="s">
        <v>302</v>
      </c>
      <c r="X28" t="s">
        <v>303</v>
      </c>
      <c r="Y28" t="s">
        <v>304</v>
      </c>
    </row>
    <row r="29" spans="1:25" x14ac:dyDescent="0.25">
      <c r="A29" t="s">
        <v>28</v>
      </c>
      <c r="B29">
        <v>71.893445743432395</v>
      </c>
      <c r="C29">
        <v>30.021889471426299</v>
      </c>
      <c r="D29" s="2" t="s">
        <v>172</v>
      </c>
      <c r="F29" s="5" t="str">
        <f t="shared" si="0"/>
        <v>New "Load.M2_m2_trf_5286810a" bus1="82028035286810.1.2.3.4" phases=3 conn=Wye model=3 kv=0.380 kw=71,8934457434324 kvar=30,0218894714263 daily="RES-Tipo3_DU" status=variable vmaxpu=1.5 vminpu=0.92</v>
      </c>
      <c r="G29" t="s">
        <v>290</v>
      </c>
      <c r="H29" t="s">
        <v>291</v>
      </c>
      <c r="I29" s="4" t="str">
        <f t="shared" si="1"/>
        <v>m2_trf_5286810a</v>
      </c>
      <c r="J29" t="s">
        <v>292</v>
      </c>
      <c r="K29" t="s">
        <v>293</v>
      </c>
      <c r="L29" t="str">
        <f t="shared" si="2"/>
        <v>82028035286810</v>
      </c>
      <c r="M29" t="s">
        <v>294</v>
      </c>
      <c r="N29" t="s">
        <v>295</v>
      </c>
      <c r="O29" t="s">
        <v>296</v>
      </c>
      <c r="P29" t="s">
        <v>297</v>
      </c>
      <c r="Q29" t="s">
        <v>298</v>
      </c>
      <c r="R29" t="s">
        <v>299</v>
      </c>
      <c r="S29" s="4">
        <f t="shared" si="3"/>
        <v>71.893445743432395</v>
      </c>
      <c r="T29" t="s">
        <v>300</v>
      </c>
      <c r="U29" s="4">
        <f t="shared" si="4"/>
        <v>30.021889471426299</v>
      </c>
      <c r="V29" t="s">
        <v>301</v>
      </c>
      <c r="W29" t="s">
        <v>302</v>
      </c>
      <c r="X29" t="s">
        <v>303</v>
      </c>
      <c r="Y29" t="s">
        <v>304</v>
      </c>
    </row>
    <row r="30" spans="1:25" x14ac:dyDescent="0.25">
      <c r="A30" t="s">
        <v>29</v>
      </c>
      <c r="B30">
        <v>54.2854098168444</v>
      </c>
      <c r="C30">
        <v>22.452872242825201</v>
      </c>
      <c r="D30" s="2" t="s">
        <v>173</v>
      </c>
      <c r="F30" s="5" t="str">
        <f t="shared" si="0"/>
        <v>New "Load.M2_m2_trf_5286811a" bus1="82026685286811.1.2.3.4" phases=3 conn=Wye model=3 kv=0.380 kw=54,2854098168444 kvar=22,4528722428252 daily="RES-Tipo3_DU" status=variable vmaxpu=1.5 vminpu=0.92</v>
      </c>
      <c r="G30" t="s">
        <v>290</v>
      </c>
      <c r="H30" t="s">
        <v>291</v>
      </c>
      <c r="I30" s="4" t="str">
        <f t="shared" si="1"/>
        <v>m2_trf_5286811a</v>
      </c>
      <c r="J30" t="s">
        <v>292</v>
      </c>
      <c r="K30" t="s">
        <v>293</v>
      </c>
      <c r="L30" t="str">
        <f t="shared" si="2"/>
        <v>82026685286811</v>
      </c>
      <c r="M30" t="s">
        <v>294</v>
      </c>
      <c r="N30" t="s">
        <v>295</v>
      </c>
      <c r="O30" t="s">
        <v>296</v>
      </c>
      <c r="P30" t="s">
        <v>297</v>
      </c>
      <c r="Q30" t="s">
        <v>298</v>
      </c>
      <c r="R30" t="s">
        <v>299</v>
      </c>
      <c r="S30" s="4">
        <f t="shared" si="3"/>
        <v>54.2854098168444</v>
      </c>
      <c r="T30" t="s">
        <v>300</v>
      </c>
      <c r="U30" s="4">
        <f t="shared" si="4"/>
        <v>22.452872242825201</v>
      </c>
      <c r="V30" t="s">
        <v>301</v>
      </c>
      <c r="W30" t="s">
        <v>302</v>
      </c>
      <c r="X30" t="s">
        <v>303</v>
      </c>
      <c r="Y30" t="s">
        <v>304</v>
      </c>
    </row>
    <row r="31" spans="1:25" x14ac:dyDescent="0.25">
      <c r="A31" t="s">
        <v>30</v>
      </c>
      <c r="B31">
        <v>93.879355837577904</v>
      </c>
      <c r="C31">
        <v>39.007488675088297</v>
      </c>
      <c r="D31" s="2" t="s">
        <v>174</v>
      </c>
      <c r="F31" s="5" t="str">
        <f t="shared" si="0"/>
        <v>New "Load.M2_m2_trf_5286812a" bus1="82026915286812.1.2.3.4" phases=3 conn=Wye model=3 kv=0.380 kw=93,8793558375779 kvar=39,0074886750883 daily="RES-Tipo3_DU" status=variable vmaxpu=1.5 vminpu=0.92</v>
      </c>
      <c r="G31" t="s">
        <v>290</v>
      </c>
      <c r="H31" t="s">
        <v>291</v>
      </c>
      <c r="I31" s="4" t="str">
        <f t="shared" si="1"/>
        <v>m2_trf_5286812a</v>
      </c>
      <c r="J31" t="s">
        <v>292</v>
      </c>
      <c r="K31" t="s">
        <v>293</v>
      </c>
      <c r="L31" t="str">
        <f t="shared" si="2"/>
        <v>82026915286812</v>
      </c>
      <c r="M31" t="s">
        <v>294</v>
      </c>
      <c r="N31" t="s">
        <v>295</v>
      </c>
      <c r="O31" t="s">
        <v>296</v>
      </c>
      <c r="P31" t="s">
        <v>297</v>
      </c>
      <c r="Q31" t="s">
        <v>298</v>
      </c>
      <c r="R31" t="s">
        <v>299</v>
      </c>
      <c r="S31" s="4">
        <f t="shared" si="3"/>
        <v>93.879355837577904</v>
      </c>
      <c r="T31" t="s">
        <v>300</v>
      </c>
      <c r="U31" s="4">
        <f t="shared" si="4"/>
        <v>39.007488675088297</v>
      </c>
      <c r="V31" t="s">
        <v>301</v>
      </c>
      <c r="W31" t="s">
        <v>302</v>
      </c>
      <c r="X31" t="s">
        <v>303</v>
      </c>
      <c r="Y31" t="s">
        <v>304</v>
      </c>
    </row>
    <row r="32" spans="1:25" x14ac:dyDescent="0.25">
      <c r="A32" t="s">
        <v>31</v>
      </c>
      <c r="B32">
        <v>25.237012867825001</v>
      </c>
      <c r="C32">
        <v>10.401842982014699</v>
      </c>
      <c r="D32" s="2" t="s">
        <v>175</v>
      </c>
      <c r="F32" s="5" t="str">
        <f t="shared" si="0"/>
        <v>New "Load.M2_m2_trf_5286813a" bus1="82028365286813.1.2.3.4" phases=3 conn=Wye model=3 kv=0.380 kw=25,237012867825 kvar=10,4018429820147 daily="RES-Tipo3_DU" status=variable vmaxpu=1.5 vminpu=0.92</v>
      </c>
      <c r="G32" t="s">
        <v>290</v>
      </c>
      <c r="H32" t="s">
        <v>291</v>
      </c>
      <c r="I32" s="4" t="str">
        <f t="shared" si="1"/>
        <v>m2_trf_5286813a</v>
      </c>
      <c r="J32" t="s">
        <v>292</v>
      </c>
      <c r="K32" t="s">
        <v>293</v>
      </c>
      <c r="L32" t="str">
        <f t="shared" si="2"/>
        <v>82028365286813</v>
      </c>
      <c r="M32" t="s">
        <v>294</v>
      </c>
      <c r="N32" t="s">
        <v>295</v>
      </c>
      <c r="O32" t="s">
        <v>296</v>
      </c>
      <c r="P32" t="s">
        <v>297</v>
      </c>
      <c r="Q32" t="s">
        <v>298</v>
      </c>
      <c r="R32" t="s">
        <v>299</v>
      </c>
      <c r="S32" s="4">
        <f t="shared" si="3"/>
        <v>25.237012867825001</v>
      </c>
      <c r="T32" t="s">
        <v>300</v>
      </c>
      <c r="U32" s="4">
        <f t="shared" si="4"/>
        <v>10.401842982014699</v>
      </c>
      <c r="V32" t="s">
        <v>301</v>
      </c>
      <c r="W32" t="s">
        <v>302</v>
      </c>
      <c r="X32" t="s">
        <v>303</v>
      </c>
      <c r="Y32" t="s">
        <v>304</v>
      </c>
    </row>
    <row r="33" spans="1:25" x14ac:dyDescent="0.25">
      <c r="A33" t="s">
        <v>32</v>
      </c>
      <c r="B33">
        <v>56.791031975280603</v>
      </c>
      <c r="C33">
        <v>23.433353890018701</v>
      </c>
      <c r="D33" s="2" t="s">
        <v>176</v>
      </c>
      <c r="F33" s="5" t="str">
        <f t="shared" si="0"/>
        <v>New "Load.M2_m2_trf_5286814a" bus1="82027655286814.1.2.3.4" phases=3 conn=Wye model=3 kv=0.380 kw=56,7910319752806 kvar=23,4333538900187 daily="RES-Tipo3_DU" status=variable vmaxpu=1.5 vminpu=0.92</v>
      </c>
      <c r="G33" t="s">
        <v>290</v>
      </c>
      <c r="H33" t="s">
        <v>291</v>
      </c>
      <c r="I33" s="4" t="str">
        <f t="shared" si="1"/>
        <v>m2_trf_5286814a</v>
      </c>
      <c r="J33" t="s">
        <v>292</v>
      </c>
      <c r="K33" t="s">
        <v>293</v>
      </c>
      <c r="L33" t="str">
        <f t="shared" si="2"/>
        <v>82027655286814</v>
      </c>
      <c r="M33" t="s">
        <v>294</v>
      </c>
      <c r="N33" t="s">
        <v>295</v>
      </c>
      <c r="O33" t="s">
        <v>296</v>
      </c>
      <c r="P33" t="s">
        <v>297</v>
      </c>
      <c r="Q33" t="s">
        <v>298</v>
      </c>
      <c r="R33" t="s">
        <v>299</v>
      </c>
      <c r="S33" s="4">
        <f t="shared" si="3"/>
        <v>56.791031975280603</v>
      </c>
      <c r="T33" t="s">
        <v>300</v>
      </c>
      <c r="U33" s="4">
        <f t="shared" si="4"/>
        <v>23.433353890018701</v>
      </c>
      <c r="V33" t="s">
        <v>301</v>
      </c>
      <c r="W33" t="s">
        <v>302</v>
      </c>
      <c r="X33" t="s">
        <v>303</v>
      </c>
      <c r="Y33" t="s">
        <v>304</v>
      </c>
    </row>
    <row r="34" spans="1:25" x14ac:dyDescent="0.25">
      <c r="A34" t="s">
        <v>33</v>
      </c>
      <c r="B34">
        <v>64.622653763790197</v>
      </c>
      <c r="C34">
        <v>26.760541216746699</v>
      </c>
      <c r="D34" s="2" t="s">
        <v>177</v>
      </c>
      <c r="F34" s="5" t="str">
        <f t="shared" si="0"/>
        <v>New "Load.M2_m2_trf_5286815a" bus1="82027735286815.1.2.3.4" phases=3 conn=Wye model=3 kv=0.380 kw=64,6226537637902 kvar=26,7605412167467 daily="RES-Tipo3_DU" status=variable vmaxpu=1.5 vminpu=0.92</v>
      </c>
      <c r="G34" t="s">
        <v>290</v>
      </c>
      <c r="H34" t="s">
        <v>291</v>
      </c>
      <c r="I34" s="4" t="str">
        <f t="shared" si="1"/>
        <v>m2_trf_5286815a</v>
      </c>
      <c r="J34" t="s">
        <v>292</v>
      </c>
      <c r="K34" t="s">
        <v>293</v>
      </c>
      <c r="L34" t="str">
        <f t="shared" si="2"/>
        <v>82027735286815</v>
      </c>
      <c r="M34" t="s">
        <v>294</v>
      </c>
      <c r="N34" t="s">
        <v>295</v>
      </c>
      <c r="O34" t="s">
        <v>296</v>
      </c>
      <c r="P34" t="s">
        <v>297</v>
      </c>
      <c r="Q34" t="s">
        <v>298</v>
      </c>
      <c r="R34" t="s">
        <v>299</v>
      </c>
      <c r="S34" s="4">
        <f t="shared" si="3"/>
        <v>64.622653763790197</v>
      </c>
      <c r="T34" t="s">
        <v>300</v>
      </c>
      <c r="U34" s="4">
        <f t="shared" si="4"/>
        <v>26.760541216746699</v>
      </c>
      <c r="V34" t="s">
        <v>301</v>
      </c>
      <c r="W34" t="s">
        <v>302</v>
      </c>
      <c r="X34" t="s">
        <v>303</v>
      </c>
      <c r="Y34" t="s">
        <v>304</v>
      </c>
    </row>
    <row r="35" spans="1:25" x14ac:dyDescent="0.25">
      <c r="A35" t="s">
        <v>34</v>
      </c>
      <c r="B35">
        <v>52.960978190129602</v>
      </c>
      <c r="C35">
        <v>22.069047819222099</v>
      </c>
      <c r="D35" s="2" t="s">
        <v>178</v>
      </c>
      <c r="F35" s="5" t="str">
        <f t="shared" si="0"/>
        <v>New "Load.M2_m2_trf_5286816a" bus1="82029355286816.1.2.3.4" phases=3 conn=Wye model=3 kv=0.380 kw=52,9609781901296 kvar=22,0690478192221 daily="RES-Tipo3_DU" status=variable vmaxpu=1.5 vminpu=0.92</v>
      </c>
      <c r="G35" t="s">
        <v>290</v>
      </c>
      <c r="H35" t="s">
        <v>291</v>
      </c>
      <c r="I35" s="4" t="str">
        <f t="shared" si="1"/>
        <v>m2_trf_5286816a</v>
      </c>
      <c r="J35" t="s">
        <v>292</v>
      </c>
      <c r="K35" t="s">
        <v>293</v>
      </c>
      <c r="L35" t="str">
        <f t="shared" si="2"/>
        <v>82029355286816</v>
      </c>
      <c r="M35" t="s">
        <v>294</v>
      </c>
      <c r="N35" t="s">
        <v>295</v>
      </c>
      <c r="O35" t="s">
        <v>296</v>
      </c>
      <c r="P35" t="s">
        <v>297</v>
      </c>
      <c r="Q35" t="s">
        <v>298</v>
      </c>
      <c r="R35" t="s">
        <v>299</v>
      </c>
      <c r="S35" s="4">
        <f t="shared" si="3"/>
        <v>52.960978190129602</v>
      </c>
      <c r="T35" t="s">
        <v>300</v>
      </c>
      <c r="U35" s="4">
        <f t="shared" si="4"/>
        <v>22.069047819222099</v>
      </c>
      <c r="V35" t="s">
        <v>301</v>
      </c>
      <c r="W35" t="s">
        <v>302</v>
      </c>
      <c r="X35" t="s">
        <v>303</v>
      </c>
      <c r="Y35" t="s">
        <v>304</v>
      </c>
    </row>
    <row r="36" spans="1:25" x14ac:dyDescent="0.25">
      <c r="A36" t="s">
        <v>35</v>
      </c>
      <c r="B36">
        <v>33.4394388336407</v>
      </c>
      <c r="C36">
        <v>13.738454397339</v>
      </c>
      <c r="D36" s="2" t="s">
        <v>179</v>
      </c>
      <c r="F36" s="5" t="str">
        <f t="shared" si="0"/>
        <v>New "Load.M2_m2_trf_5286817a" bus1="82029275286817.1.2.3.4" phases=3 conn=Wye model=3 kv=0.380 kw=33,4394388336407 kvar=13,738454397339 daily="RES-Tipo3_DU" status=variable vmaxpu=1.5 vminpu=0.92</v>
      </c>
      <c r="G36" t="s">
        <v>290</v>
      </c>
      <c r="H36" t="s">
        <v>291</v>
      </c>
      <c r="I36" s="4" t="str">
        <f t="shared" si="1"/>
        <v>m2_trf_5286817a</v>
      </c>
      <c r="J36" t="s">
        <v>292</v>
      </c>
      <c r="K36" t="s">
        <v>293</v>
      </c>
      <c r="L36" t="str">
        <f t="shared" si="2"/>
        <v>82029275286817</v>
      </c>
      <c r="M36" t="s">
        <v>294</v>
      </c>
      <c r="N36" t="s">
        <v>295</v>
      </c>
      <c r="O36" t="s">
        <v>296</v>
      </c>
      <c r="P36" t="s">
        <v>297</v>
      </c>
      <c r="Q36" t="s">
        <v>298</v>
      </c>
      <c r="R36" t="s">
        <v>299</v>
      </c>
      <c r="S36" s="4">
        <f t="shared" si="3"/>
        <v>33.4394388336407</v>
      </c>
      <c r="T36" t="s">
        <v>300</v>
      </c>
      <c r="U36" s="4">
        <f t="shared" si="4"/>
        <v>13.738454397339</v>
      </c>
      <c r="V36" t="s">
        <v>301</v>
      </c>
      <c r="W36" t="s">
        <v>302</v>
      </c>
      <c r="X36" t="s">
        <v>303</v>
      </c>
      <c r="Y36" t="s">
        <v>304</v>
      </c>
    </row>
    <row r="37" spans="1:25" x14ac:dyDescent="0.25">
      <c r="A37" t="s">
        <v>36</v>
      </c>
      <c r="B37">
        <v>21.325328114059001</v>
      </c>
      <c r="C37">
        <v>8.73977416029709</v>
      </c>
      <c r="D37" s="2" t="s">
        <v>180</v>
      </c>
      <c r="F37" s="5" t="str">
        <f t="shared" si="0"/>
        <v>New "Load.M2_m2_trf_5286818a" bus1="82028855286818.1.2.3.4" phases=3 conn=Wye model=3 kv=0.380 kw=21,325328114059 kvar=8,73977416029709 daily="RES-Tipo3_DU" status=variable vmaxpu=1.5 vminpu=0.92</v>
      </c>
      <c r="G37" t="s">
        <v>290</v>
      </c>
      <c r="H37" t="s">
        <v>291</v>
      </c>
      <c r="I37" s="4" t="str">
        <f t="shared" si="1"/>
        <v>m2_trf_5286818a</v>
      </c>
      <c r="J37" t="s">
        <v>292</v>
      </c>
      <c r="K37" t="s">
        <v>293</v>
      </c>
      <c r="L37" t="str">
        <f t="shared" si="2"/>
        <v>82028855286818</v>
      </c>
      <c r="M37" t="s">
        <v>294</v>
      </c>
      <c r="N37" t="s">
        <v>295</v>
      </c>
      <c r="O37" t="s">
        <v>296</v>
      </c>
      <c r="P37" t="s">
        <v>297</v>
      </c>
      <c r="Q37" t="s">
        <v>298</v>
      </c>
      <c r="R37" t="s">
        <v>299</v>
      </c>
      <c r="S37" s="4">
        <f t="shared" si="3"/>
        <v>21.325328114059001</v>
      </c>
      <c r="T37" t="s">
        <v>300</v>
      </c>
      <c r="U37" s="4">
        <f t="shared" si="4"/>
        <v>8.73977416029709</v>
      </c>
      <c r="V37" t="s">
        <v>301</v>
      </c>
      <c r="W37" t="s">
        <v>302</v>
      </c>
      <c r="X37" t="s">
        <v>303</v>
      </c>
      <c r="Y37" t="s">
        <v>304</v>
      </c>
    </row>
    <row r="38" spans="1:25" x14ac:dyDescent="0.25">
      <c r="A38" t="s">
        <v>37</v>
      </c>
      <c r="B38">
        <v>56.883786791750701</v>
      </c>
      <c r="C38">
        <v>23.504518231053801</v>
      </c>
      <c r="D38" s="2" t="s">
        <v>181</v>
      </c>
      <c r="F38" s="5" t="str">
        <f t="shared" si="0"/>
        <v>New "Load.M2_m2_trf_5286819a" bus1="82027135286819.1.2.3.4" phases=3 conn=Wye model=3 kv=0.380 kw=56,8837867917507 kvar=23,5045182310538 daily="RES-Tipo3_DU" status=variable vmaxpu=1.5 vminpu=0.92</v>
      </c>
      <c r="G38" t="s">
        <v>290</v>
      </c>
      <c r="H38" t="s">
        <v>291</v>
      </c>
      <c r="I38" s="4" t="str">
        <f t="shared" si="1"/>
        <v>m2_trf_5286819a</v>
      </c>
      <c r="J38" t="s">
        <v>292</v>
      </c>
      <c r="K38" t="s">
        <v>293</v>
      </c>
      <c r="L38" t="str">
        <f t="shared" si="2"/>
        <v>82027135286819</v>
      </c>
      <c r="M38" t="s">
        <v>294</v>
      </c>
      <c r="N38" t="s">
        <v>295</v>
      </c>
      <c r="O38" t="s">
        <v>296</v>
      </c>
      <c r="P38" t="s">
        <v>297</v>
      </c>
      <c r="Q38" t="s">
        <v>298</v>
      </c>
      <c r="R38" t="s">
        <v>299</v>
      </c>
      <c r="S38" s="4">
        <f t="shared" si="3"/>
        <v>56.883786791750701</v>
      </c>
      <c r="T38" t="s">
        <v>300</v>
      </c>
      <c r="U38" s="4">
        <f t="shared" si="4"/>
        <v>23.504518231053801</v>
      </c>
      <c r="V38" t="s">
        <v>301</v>
      </c>
      <c r="W38" t="s">
        <v>302</v>
      </c>
      <c r="X38" t="s">
        <v>303</v>
      </c>
      <c r="Y38" t="s">
        <v>304</v>
      </c>
    </row>
    <row r="39" spans="1:25" x14ac:dyDescent="0.25">
      <c r="A39" t="s">
        <v>38</v>
      </c>
      <c r="B39">
        <v>38.189604424222097</v>
      </c>
      <c r="C39">
        <v>15.667025025440701</v>
      </c>
      <c r="D39" s="2" t="s">
        <v>182</v>
      </c>
      <c r="F39" s="5" t="str">
        <f t="shared" si="0"/>
        <v>New "Load.M2_m2_trf_5286820a" bus1="82026625286820.1.2.3.4" phases=3 conn=Wye model=3 kv=0.380 kw=38,1896044242221 kvar=15,6670250254407 daily="RES-Tipo3_DU" status=variable vmaxpu=1.5 vminpu=0.92</v>
      </c>
      <c r="G39" t="s">
        <v>290</v>
      </c>
      <c r="H39" t="s">
        <v>291</v>
      </c>
      <c r="I39" s="4" t="str">
        <f t="shared" si="1"/>
        <v>m2_trf_5286820a</v>
      </c>
      <c r="J39" t="s">
        <v>292</v>
      </c>
      <c r="K39" t="s">
        <v>293</v>
      </c>
      <c r="L39" t="str">
        <f t="shared" si="2"/>
        <v>82026625286820</v>
      </c>
      <c r="M39" t="s">
        <v>294</v>
      </c>
      <c r="N39" t="s">
        <v>295</v>
      </c>
      <c r="O39" t="s">
        <v>296</v>
      </c>
      <c r="P39" t="s">
        <v>297</v>
      </c>
      <c r="Q39" t="s">
        <v>298</v>
      </c>
      <c r="R39" t="s">
        <v>299</v>
      </c>
      <c r="S39" s="4">
        <f t="shared" si="3"/>
        <v>38.189604424222097</v>
      </c>
      <c r="T39" t="s">
        <v>300</v>
      </c>
      <c r="U39" s="4">
        <f t="shared" si="4"/>
        <v>15.667025025440701</v>
      </c>
      <c r="V39" t="s">
        <v>301</v>
      </c>
      <c r="W39" t="s">
        <v>302</v>
      </c>
      <c r="X39" t="s">
        <v>303</v>
      </c>
      <c r="Y39" t="s">
        <v>304</v>
      </c>
    </row>
    <row r="40" spans="1:25" x14ac:dyDescent="0.25">
      <c r="A40" t="s">
        <v>39</v>
      </c>
      <c r="B40">
        <v>76.164345002018194</v>
      </c>
      <c r="C40">
        <v>31.7081741088572</v>
      </c>
      <c r="D40" s="2" t="s">
        <v>183</v>
      </c>
      <c r="F40" s="5" t="str">
        <f t="shared" si="0"/>
        <v>New "Load.M2_m2_trf_5286821a" bus1="82025745286821.1.2.3.4" phases=3 conn=Wye model=3 kv=0.380 kw=76,1643450020182 kvar=31,7081741088572 daily="RES-Tipo3_DU" status=variable vmaxpu=1.5 vminpu=0.92</v>
      </c>
      <c r="G40" t="s">
        <v>290</v>
      </c>
      <c r="H40" t="s">
        <v>291</v>
      </c>
      <c r="I40" s="4" t="str">
        <f t="shared" si="1"/>
        <v>m2_trf_5286821a</v>
      </c>
      <c r="J40" t="s">
        <v>292</v>
      </c>
      <c r="K40" t="s">
        <v>293</v>
      </c>
      <c r="L40" t="str">
        <f t="shared" si="2"/>
        <v>82025745286821</v>
      </c>
      <c r="M40" t="s">
        <v>294</v>
      </c>
      <c r="N40" t="s">
        <v>295</v>
      </c>
      <c r="O40" t="s">
        <v>296</v>
      </c>
      <c r="P40" t="s">
        <v>297</v>
      </c>
      <c r="Q40" t="s">
        <v>298</v>
      </c>
      <c r="R40" t="s">
        <v>299</v>
      </c>
      <c r="S40" s="4">
        <f t="shared" si="3"/>
        <v>76.164345002018194</v>
      </c>
      <c r="T40" t="s">
        <v>300</v>
      </c>
      <c r="U40" s="4">
        <f t="shared" si="4"/>
        <v>31.7081741088572</v>
      </c>
      <c r="V40" t="s">
        <v>301</v>
      </c>
      <c r="W40" t="s">
        <v>302</v>
      </c>
      <c r="X40" t="s">
        <v>303</v>
      </c>
      <c r="Y40" t="s">
        <v>304</v>
      </c>
    </row>
    <row r="41" spans="1:25" x14ac:dyDescent="0.25">
      <c r="A41" t="s">
        <v>40</v>
      </c>
      <c r="B41">
        <v>41.384827850273702</v>
      </c>
      <c r="C41">
        <v>17.6193040893349</v>
      </c>
      <c r="D41" s="2" t="s">
        <v>184</v>
      </c>
      <c r="F41" s="5" t="str">
        <f t="shared" si="0"/>
        <v>New "Load.M2_m2_trf_5286828a" bus1="82042655286828.1.2.3.4" phases=3 conn=Wye model=3 kv=0.380 kw=41,3848278502737 kvar=17,6193040893349 daily="RES-Tipo3_DU" status=variable vmaxpu=1.5 vminpu=0.92</v>
      </c>
      <c r="G41" t="s">
        <v>290</v>
      </c>
      <c r="H41" t="s">
        <v>291</v>
      </c>
      <c r="I41" s="4" t="str">
        <f t="shared" si="1"/>
        <v>m2_trf_5286828a</v>
      </c>
      <c r="J41" t="s">
        <v>292</v>
      </c>
      <c r="K41" t="s">
        <v>293</v>
      </c>
      <c r="L41" t="str">
        <f t="shared" si="2"/>
        <v>82042655286828</v>
      </c>
      <c r="M41" t="s">
        <v>294</v>
      </c>
      <c r="N41" t="s">
        <v>295</v>
      </c>
      <c r="O41" t="s">
        <v>296</v>
      </c>
      <c r="P41" t="s">
        <v>297</v>
      </c>
      <c r="Q41" t="s">
        <v>298</v>
      </c>
      <c r="R41" t="s">
        <v>299</v>
      </c>
      <c r="S41" s="4">
        <f t="shared" si="3"/>
        <v>41.384827850273702</v>
      </c>
      <c r="T41" t="s">
        <v>300</v>
      </c>
      <c r="U41" s="4">
        <f t="shared" si="4"/>
        <v>17.6193040893349</v>
      </c>
      <c r="V41" t="s">
        <v>301</v>
      </c>
      <c r="W41" t="s">
        <v>302</v>
      </c>
      <c r="X41" t="s">
        <v>303</v>
      </c>
      <c r="Y41" t="s">
        <v>304</v>
      </c>
    </row>
    <row r="42" spans="1:25" x14ac:dyDescent="0.25">
      <c r="A42" t="s">
        <v>41</v>
      </c>
      <c r="B42">
        <v>23.457020072437199</v>
      </c>
      <c r="C42">
        <v>9.7646671207329003</v>
      </c>
      <c r="D42" s="2" t="s">
        <v>185</v>
      </c>
      <c r="F42" s="5" t="str">
        <f t="shared" si="0"/>
        <v>New "Load.M2_m2_trf_5286829a" bus1="81490995286829.1.2.3.4" phases=3 conn=Wye model=3 kv=0.380 kw=23,4570200724372 kvar=9,7646671207329 daily="RES-Tipo3_DU" status=variable vmaxpu=1.5 vminpu=0.92</v>
      </c>
      <c r="G42" t="s">
        <v>290</v>
      </c>
      <c r="H42" t="s">
        <v>291</v>
      </c>
      <c r="I42" s="4" t="str">
        <f t="shared" si="1"/>
        <v>m2_trf_5286829a</v>
      </c>
      <c r="J42" t="s">
        <v>292</v>
      </c>
      <c r="K42" t="s">
        <v>293</v>
      </c>
      <c r="L42" t="str">
        <f t="shared" si="2"/>
        <v>81490995286829</v>
      </c>
      <c r="M42" t="s">
        <v>294</v>
      </c>
      <c r="N42" t="s">
        <v>295</v>
      </c>
      <c r="O42" t="s">
        <v>296</v>
      </c>
      <c r="P42" t="s">
        <v>297</v>
      </c>
      <c r="Q42" t="s">
        <v>298</v>
      </c>
      <c r="R42" t="s">
        <v>299</v>
      </c>
      <c r="S42" s="4">
        <f t="shared" si="3"/>
        <v>23.457020072437199</v>
      </c>
      <c r="T42" t="s">
        <v>300</v>
      </c>
      <c r="U42" s="4">
        <f t="shared" si="4"/>
        <v>9.7646671207329003</v>
      </c>
      <c r="V42" t="s">
        <v>301</v>
      </c>
      <c r="W42" t="s">
        <v>302</v>
      </c>
      <c r="X42" t="s">
        <v>303</v>
      </c>
      <c r="Y42" t="s">
        <v>304</v>
      </c>
    </row>
    <row r="43" spans="1:25" x14ac:dyDescent="0.25">
      <c r="A43" t="s">
        <v>42</v>
      </c>
      <c r="B43">
        <v>49.571183648243398</v>
      </c>
      <c r="C43">
        <v>20.958564627017498</v>
      </c>
      <c r="D43" s="2" t="s">
        <v>186</v>
      </c>
      <c r="F43" s="5" t="str">
        <f t="shared" si="0"/>
        <v>New "Load.M2_m2_trf_5286830a" bus1="81460505286830.1.2.3.4" phases=3 conn=Wye model=3 kv=0.380 kw=49,5711836482434 kvar=20,9585646270175 daily="RES-Tipo3_DU" status=variable vmaxpu=1.5 vminpu=0.92</v>
      </c>
      <c r="G43" t="s">
        <v>290</v>
      </c>
      <c r="H43" t="s">
        <v>291</v>
      </c>
      <c r="I43" s="4" t="str">
        <f t="shared" si="1"/>
        <v>m2_trf_5286830a</v>
      </c>
      <c r="J43" t="s">
        <v>292</v>
      </c>
      <c r="K43" t="s">
        <v>293</v>
      </c>
      <c r="L43" t="str">
        <f t="shared" si="2"/>
        <v>81460505286830</v>
      </c>
      <c r="M43" t="s">
        <v>294</v>
      </c>
      <c r="N43" t="s">
        <v>295</v>
      </c>
      <c r="O43" t="s">
        <v>296</v>
      </c>
      <c r="P43" t="s">
        <v>297</v>
      </c>
      <c r="Q43" t="s">
        <v>298</v>
      </c>
      <c r="R43" t="s">
        <v>299</v>
      </c>
      <c r="S43" s="4">
        <f t="shared" si="3"/>
        <v>49.571183648243398</v>
      </c>
      <c r="T43" t="s">
        <v>300</v>
      </c>
      <c r="U43" s="4">
        <f t="shared" si="4"/>
        <v>20.958564627017498</v>
      </c>
      <c r="V43" t="s">
        <v>301</v>
      </c>
      <c r="W43" t="s">
        <v>302</v>
      </c>
      <c r="X43" t="s">
        <v>303</v>
      </c>
      <c r="Y43" t="s">
        <v>304</v>
      </c>
    </row>
    <row r="44" spans="1:25" x14ac:dyDescent="0.25">
      <c r="A44" t="s">
        <v>43</v>
      </c>
      <c r="B44">
        <v>41.1801958804568</v>
      </c>
      <c r="C44">
        <v>17.1188745171834</v>
      </c>
      <c r="D44" s="2" t="s">
        <v>187</v>
      </c>
      <c r="F44" s="5" t="str">
        <f t="shared" si="0"/>
        <v>New "Load.M2_m2_trf_5286831a" bus1="82043025286831.1.2.3.4" phases=3 conn=Wye model=3 kv=0.380 kw=41,1801958804568 kvar=17,1188745171834 daily="RES-Tipo3_DU" status=variable vmaxpu=1.5 vminpu=0.92</v>
      </c>
      <c r="G44" t="s">
        <v>290</v>
      </c>
      <c r="H44" t="s">
        <v>291</v>
      </c>
      <c r="I44" s="4" t="str">
        <f t="shared" si="1"/>
        <v>m2_trf_5286831a</v>
      </c>
      <c r="J44" t="s">
        <v>292</v>
      </c>
      <c r="K44" t="s">
        <v>293</v>
      </c>
      <c r="L44" t="str">
        <f t="shared" si="2"/>
        <v>82043025286831</v>
      </c>
      <c r="M44" t="s">
        <v>294</v>
      </c>
      <c r="N44" t="s">
        <v>295</v>
      </c>
      <c r="O44" t="s">
        <v>296</v>
      </c>
      <c r="P44" t="s">
        <v>297</v>
      </c>
      <c r="Q44" t="s">
        <v>298</v>
      </c>
      <c r="R44" t="s">
        <v>299</v>
      </c>
      <c r="S44" s="4">
        <f t="shared" si="3"/>
        <v>41.1801958804568</v>
      </c>
      <c r="T44" t="s">
        <v>300</v>
      </c>
      <c r="U44" s="4">
        <f t="shared" si="4"/>
        <v>17.1188745171834</v>
      </c>
      <c r="V44" t="s">
        <v>301</v>
      </c>
      <c r="W44" t="s">
        <v>302</v>
      </c>
      <c r="X44" t="s">
        <v>303</v>
      </c>
      <c r="Y44" t="s">
        <v>304</v>
      </c>
    </row>
    <row r="45" spans="1:25" x14ac:dyDescent="0.25">
      <c r="A45" t="s">
        <v>44</v>
      </c>
      <c r="B45">
        <v>34.030532107332498</v>
      </c>
      <c r="C45">
        <v>14.0222687513095</v>
      </c>
      <c r="D45" s="2" t="s">
        <v>188</v>
      </c>
      <c r="F45" s="5" t="str">
        <f t="shared" si="0"/>
        <v>New "Load.M2_m2_trf_5286832a" bus1="82042575286832.1.2.3.4" phases=3 conn=Wye model=3 kv=0.380 kw=34,0305321073325 kvar=14,0222687513095 daily="RES-Tipo3_DU" status=variable vmaxpu=1.5 vminpu=0.92</v>
      </c>
      <c r="G45" t="s">
        <v>290</v>
      </c>
      <c r="H45" t="s">
        <v>291</v>
      </c>
      <c r="I45" s="4" t="str">
        <f t="shared" si="1"/>
        <v>m2_trf_5286832a</v>
      </c>
      <c r="J45" t="s">
        <v>292</v>
      </c>
      <c r="K45" t="s">
        <v>293</v>
      </c>
      <c r="L45" t="str">
        <f t="shared" si="2"/>
        <v>82042575286832</v>
      </c>
      <c r="M45" t="s">
        <v>294</v>
      </c>
      <c r="N45" t="s">
        <v>295</v>
      </c>
      <c r="O45" t="s">
        <v>296</v>
      </c>
      <c r="P45" t="s">
        <v>297</v>
      </c>
      <c r="Q45" t="s">
        <v>298</v>
      </c>
      <c r="R45" t="s">
        <v>299</v>
      </c>
      <c r="S45" s="4">
        <f t="shared" si="3"/>
        <v>34.030532107332498</v>
      </c>
      <c r="T45" t="s">
        <v>300</v>
      </c>
      <c r="U45" s="4">
        <f t="shared" si="4"/>
        <v>14.0222687513095</v>
      </c>
      <c r="V45" t="s">
        <v>301</v>
      </c>
      <c r="W45" t="s">
        <v>302</v>
      </c>
      <c r="X45" t="s">
        <v>303</v>
      </c>
      <c r="Y45" t="s">
        <v>304</v>
      </c>
    </row>
    <row r="46" spans="1:25" x14ac:dyDescent="0.25">
      <c r="A46" t="s">
        <v>45</v>
      </c>
      <c r="B46">
        <v>45.067359528595198</v>
      </c>
      <c r="C46">
        <v>18.517760270425601</v>
      </c>
      <c r="D46" s="2" t="s">
        <v>189</v>
      </c>
      <c r="F46" s="5" t="str">
        <f t="shared" si="0"/>
        <v>New "Load.M2_m2_trf_5286833a" bus1="82041995286833.1.2.3.4" phases=3 conn=Wye model=3 kv=0.380 kw=45,0673595285952 kvar=18,5177602704256 daily="RES-Tipo3_DU" status=variable vmaxpu=1.5 vminpu=0.92</v>
      </c>
      <c r="G46" t="s">
        <v>290</v>
      </c>
      <c r="H46" t="s">
        <v>291</v>
      </c>
      <c r="I46" s="4" t="str">
        <f t="shared" si="1"/>
        <v>m2_trf_5286833a</v>
      </c>
      <c r="J46" t="s">
        <v>292</v>
      </c>
      <c r="K46" t="s">
        <v>293</v>
      </c>
      <c r="L46" t="str">
        <f t="shared" si="2"/>
        <v>82041995286833</v>
      </c>
      <c r="M46" t="s">
        <v>294</v>
      </c>
      <c r="N46" t="s">
        <v>295</v>
      </c>
      <c r="O46" t="s">
        <v>296</v>
      </c>
      <c r="P46" t="s">
        <v>297</v>
      </c>
      <c r="Q46" t="s">
        <v>298</v>
      </c>
      <c r="R46" t="s">
        <v>299</v>
      </c>
      <c r="S46" s="4">
        <f t="shared" si="3"/>
        <v>45.067359528595198</v>
      </c>
      <c r="T46" t="s">
        <v>300</v>
      </c>
      <c r="U46" s="4">
        <f t="shared" si="4"/>
        <v>18.517760270425601</v>
      </c>
      <c r="V46" t="s">
        <v>301</v>
      </c>
      <c r="W46" t="s">
        <v>302</v>
      </c>
      <c r="X46" t="s">
        <v>303</v>
      </c>
      <c r="Y46" t="s">
        <v>304</v>
      </c>
    </row>
    <row r="47" spans="1:25" x14ac:dyDescent="0.25">
      <c r="A47" t="s">
        <v>46</v>
      </c>
      <c r="B47">
        <v>56.150689114388797</v>
      </c>
      <c r="C47">
        <v>23.366158305341099</v>
      </c>
      <c r="D47" s="2" t="s">
        <v>190</v>
      </c>
      <c r="F47" s="5" t="str">
        <f t="shared" si="0"/>
        <v>New "Load.M2_m2_trf_5286834a" bus1="82038095286834.1.2.3.4" phases=3 conn=Wye model=3 kv=0.380 kw=56,1506891143888 kvar=23,3661583053411 daily="RES-Tipo3_DU" status=variable vmaxpu=1.5 vminpu=0.92</v>
      </c>
      <c r="G47" t="s">
        <v>290</v>
      </c>
      <c r="H47" t="s">
        <v>291</v>
      </c>
      <c r="I47" s="4" t="str">
        <f t="shared" si="1"/>
        <v>m2_trf_5286834a</v>
      </c>
      <c r="J47" t="s">
        <v>292</v>
      </c>
      <c r="K47" t="s">
        <v>293</v>
      </c>
      <c r="L47" t="str">
        <f t="shared" si="2"/>
        <v>82038095286834</v>
      </c>
      <c r="M47" t="s">
        <v>294</v>
      </c>
      <c r="N47" t="s">
        <v>295</v>
      </c>
      <c r="O47" t="s">
        <v>296</v>
      </c>
      <c r="P47" t="s">
        <v>297</v>
      </c>
      <c r="Q47" t="s">
        <v>298</v>
      </c>
      <c r="R47" t="s">
        <v>299</v>
      </c>
      <c r="S47" s="4">
        <f t="shared" si="3"/>
        <v>56.150689114388797</v>
      </c>
      <c r="T47" t="s">
        <v>300</v>
      </c>
      <c r="U47" s="4">
        <f t="shared" si="4"/>
        <v>23.366158305341099</v>
      </c>
      <c r="V47" t="s">
        <v>301</v>
      </c>
      <c r="W47" t="s">
        <v>302</v>
      </c>
      <c r="X47" t="s">
        <v>303</v>
      </c>
      <c r="Y47" t="s">
        <v>304</v>
      </c>
    </row>
    <row r="48" spans="1:25" x14ac:dyDescent="0.25">
      <c r="A48" t="s">
        <v>47</v>
      </c>
      <c r="B48">
        <v>46.917976292669799</v>
      </c>
      <c r="C48">
        <v>19.389165294274001</v>
      </c>
      <c r="D48" s="2" t="s">
        <v>191</v>
      </c>
      <c r="F48" s="5" t="str">
        <f t="shared" si="0"/>
        <v>New "Load.M2_m2_trf_5286835a" bus1="82038115286835.1.2.3.4" phases=3 conn=Wye model=3 kv=0.380 kw=46,9179762926698 kvar=19,389165294274 daily="RES-Tipo3_DU" status=variable vmaxpu=1.5 vminpu=0.92</v>
      </c>
      <c r="G48" t="s">
        <v>290</v>
      </c>
      <c r="H48" t="s">
        <v>291</v>
      </c>
      <c r="I48" s="4" t="str">
        <f t="shared" si="1"/>
        <v>m2_trf_5286835a</v>
      </c>
      <c r="J48" t="s">
        <v>292</v>
      </c>
      <c r="K48" t="s">
        <v>293</v>
      </c>
      <c r="L48" t="str">
        <f t="shared" si="2"/>
        <v>82038115286835</v>
      </c>
      <c r="M48" t="s">
        <v>294</v>
      </c>
      <c r="N48" t="s">
        <v>295</v>
      </c>
      <c r="O48" t="s">
        <v>296</v>
      </c>
      <c r="P48" t="s">
        <v>297</v>
      </c>
      <c r="Q48" t="s">
        <v>298</v>
      </c>
      <c r="R48" t="s">
        <v>299</v>
      </c>
      <c r="S48" s="4">
        <f t="shared" si="3"/>
        <v>46.917976292669799</v>
      </c>
      <c r="T48" t="s">
        <v>300</v>
      </c>
      <c r="U48" s="4">
        <f t="shared" si="4"/>
        <v>19.389165294274001</v>
      </c>
      <c r="V48" t="s">
        <v>301</v>
      </c>
      <c r="W48" t="s">
        <v>302</v>
      </c>
      <c r="X48" t="s">
        <v>303</v>
      </c>
      <c r="Y48" t="s">
        <v>304</v>
      </c>
    </row>
    <row r="49" spans="1:25" x14ac:dyDescent="0.25">
      <c r="A49" t="s">
        <v>48</v>
      </c>
      <c r="B49">
        <v>29.977665428957401</v>
      </c>
      <c r="C49">
        <v>12.3361899305318</v>
      </c>
      <c r="D49" s="2" t="s">
        <v>192</v>
      </c>
      <c r="F49" s="5" t="str">
        <f t="shared" si="0"/>
        <v>New "Load.M2_m2_trf_5286836a" bus1="82041105286836.1.2.3.4" phases=3 conn=Wye model=3 kv=0.380 kw=29,9776654289574 kvar=12,3361899305318 daily="RES-Tipo3_DU" status=variable vmaxpu=1.5 vminpu=0.92</v>
      </c>
      <c r="G49" t="s">
        <v>290</v>
      </c>
      <c r="H49" t="s">
        <v>291</v>
      </c>
      <c r="I49" s="4" t="str">
        <f t="shared" si="1"/>
        <v>m2_trf_5286836a</v>
      </c>
      <c r="J49" t="s">
        <v>292</v>
      </c>
      <c r="K49" t="s">
        <v>293</v>
      </c>
      <c r="L49" t="str">
        <f t="shared" si="2"/>
        <v>82041105286836</v>
      </c>
      <c r="M49" t="s">
        <v>294</v>
      </c>
      <c r="N49" t="s">
        <v>295</v>
      </c>
      <c r="O49" t="s">
        <v>296</v>
      </c>
      <c r="P49" t="s">
        <v>297</v>
      </c>
      <c r="Q49" t="s">
        <v>298</v>
      </c>
      <c r="R49" t="s">
        <v>299</v>
      </c>
      <c r="S49" s="4">
        <f t="shared" si="3"/>
        <v>29.977665428957401</v>
      </c>
      <c r="T49" t="s">
        <v>300</v>
      </c>
      <c r="U49" s="4">
        <f t="shared" si="4"/>
        <v>12.3361899305318</v>
      </c>
      <c r="V49" t="s">
        <v>301</v>
      </c>
      <c r="W49" t="s">
        <v>302</v>
      </c>
      <c r="X49" t="s">
        <v>303</v>
      </c>
      <c r="Y49" t="s">
        <v>304</v>
      </c>
    </row>
    <row r="50" spans="1:25" x14ac:dyDescent="0.25">
      <c r="A50" t="s">
        <v>49</v>
      </c>
      <c r="B50">
        <v>16.516457696556898</v>
      </c>
      <c r="C50">
        <v>6.8667640451305401</v>
      </c>
      <c r="D50" s="2" t="s">
        <v>193</v>
      </c>
      <c r="F50" s="5" t="str">
        <f t="shared" si="0"/>
        <v>New "Load.M2_m2_trf_5286837a" bus1="82041215286837.1.2.3.4" phases=3 conn=Wye model=3 kv=0.380 kw=16,5164576965569 kvar=6,86676404513054 daily="RES-Tipo3_DU" status=variable vmaxpu=1.5 vminpu=0.92</v>
      </c>
      <c r="G50" t="s">
        <v>290</v>
      </c>
      <c r="H50" t="s">
        <v>291</v>
      </c>
      <c r="I50" s="4" t="str">
        <f t="shared" si="1"/>
        <v>m2_trf_5286837a</v>
      </c>
      <c r="J50" t="s">
        <v>292</v>
      </c>
      <c r="K50" t="s">
        <v>293</v>
      </c>
      <c r="L50" t="str">
        <f t="shared" si="2"/>
        <v>82041215286837</v>
      </c>
      <c r="M50" t="s">
        <v>294</v>
      </c>
      <c r="N50" t="s">
        <v>295</v>
      </c>
      <c r="O50" t="s">
        <v>296</v>
      </c>
      <c r="P50" t="s">
        <v>297</v>
      </c>
      <c r="Q50" t="s">
        <v>298</v>
      </c>
      <c r="R50" t="s">
        <v>299</v>
      </c>
      <c r="S50" s="4">
        <f t="shared" si="3"/>
        <v>16.516457696556898</v>
      </c>
      <c r="T50" t="s">
        <v>300</v>
      </c>
      <c r="U50" s="4">
        <f t="shared" si="4"/>
        <v>6.8667640451305401</v>
      </c>
      <c r="V50" t="s">
        <v>301</v>
      </c>
      <c r="W50" t="s">
        <v>302</v>
      </c>
      <c r="X50" t="s">
        <v>303</v>
      </c>
      <c r="Y50" t="s">
        <v>304</v>
      </c>
    </row>
    <row r="51" spans="1:25" x14ac:dyDescent="0.25">
      <c r="A51" t="s">
        <v>50</v>
      </c>
      <c r="B51">
        <v>31.6017861682583</v>
      </c>
      <c r="C51">
        <v>13.037311460974101</v>
      </c>
      <c r="D51" s="2" t="s">
        <v>194</v>
      </c>
      <c r="F51" s="5" t="str">
        <f t="shared" si="0"/>
        <v>New "Load.M2_m2_trf_5286838a" bus1="82041905286838.1.2.3.4" phases=3 conn=Wye model=3 kv=0.380 kw=31,6017861682583 kvar=13,0373114609741 daily="RES-Tipo3_DU" status=variable vmaxpu=1.5 vminpu=0.92</v>
      </c>
      <c r="G51" t="s">
        <v>290</v>
      </c>
      <c r="H51" t="s">
        <v>291</v>
      </c>
      <c r="I51" s="4" t="str">
        <f t="shared" si="1"/>
        <v>m2_trf_5286838a</v>
      </c>
      <c r="J51" t="s">
        <v>292</v>
      </c>
      <c r="K51" t="s">
        <v>293</v>
      </c>
      <c r="L51" t="str">
        <f t="shared" si="2"/>
        <v>82041905286838</v>
      </c>
      <c r="M51" t="s">
        <v>294</v>
      </c>
      <c r="N51" t="s">
        <v>295</v>
      </c>
      <c r="O51" t="s">
        <v>296</v>
      </c>
      <c r="P51" t="s">
        <v>297</v>
      </c>
      <c r="Q51" t="s">
        <v>298</v>
      </c>
      <c r="R51" t="s">
        <v>299</v>
      </c>
      <c r="S51" s="4">
        <f t="shared" si="3"/>
        <v>31.6017861682583</v>
      </c>
      <c r="T51" t="s">
        <v>300</v>
      </c>
      <c r="U51" s="4">
        <f t="shared" si="4"/>
        <v>13.037311460974101</v>
      </c>
      <c r="V51" t="s">
        <v>301</v>
      </c>
      <c r="W51" t="s">
        <v>302</v>
      </c>
      <c r="X51" t="s">
        <v>303</v>
      </c>
      <c r="Y51" t="s">
        <v>304</v>
      </c>
    </row>
    <row r="52" spans="1:25" x14ac:dyDescent="0.25">
      <c r="A52" t="s">
        <v>51</v>
      </c>
      <c r="B52">
        <v>45.703184112061898</v>
      </c>
      <c r="C52">
        <v>18.958855504634801</v>
      </c>
      <c r="D52" s="2" t="s">
        <v>195</v>
      </c>
      <c r="F52" s="5" t="str">
        <f t="shared" si="0"/>
        <v>New "Load.M2_m2_trf_5286839a" bus1="82038825286839.1.2.3.4" phases=3 conn=Wye model=3 kv=0.380 kw=45,7031841120619 kvar=18,9588555046348 daily="RES-Tipo3_DU" status=variable vmaxpu=1.5 vminpu=0.92</v>
      </c>
      <c r="G52" t="s">
        <v>290</v>
      </c>
      <c r="H52" t="s">
        <v>291</v>
      </c>
      <c r="I52" s="4" t="str">
        <f t="shared" si="1"/>
        <v>m2_trf_5286839a</v>
      </c>
      <c r="J52" t="s">
        <v>292</v>
      </c>
      <c r="K52" t="s">
        <v>293</v>
      </c>
      <c r="L52" t="str">
        <f t="shared" si="2"/>
        <v>82038825286839</v>
      </c>
      <c r="M52" t="s">
        <v>294</v>
      </c>
      <c r="N52" t="s">
        <v>295</v>
      </c>
      <c r="O52" t="s">
        <v>296</v>
      </c>
      <c r="P52" t="s">
        <v>297</v>
      </c>
      <c r="Q52" t="s">
        <v>298</v>
      </c>
      <c r="R52" t="s">
        <v>299</v>
      </c>
      <c r="S52" s="4">
        <f t="shared" si="3"/>
        <v>45.703184112061898</v>
      </c>
      <c r="T52" t="s">
        <v>300</v>
      </c>
      <c r="U52" s="4">
        <f t="shared" si="4"/>
        <v>18.958855504634801</v>
      </c>
      <c r="V52" t="s">
        <v>301</v>
      </c>
      <c r="W52" t="s">
        <v>302</v>
      </c>
      <c r="X52" t="s">
        <v>303</v>
      </c>
      <c r="Y52" t="s">
        <v>304</v>
      </c>
    </row>
    <row r="53" spans="1:25" x14ac:dyDescent="0.25">
      <c r="A53" t="s">
        <v>52</v>
      </c>
      <c r="B53">
        <v>65.1506647474598</v>
      </c>
      <c r="C53">
        <v>27.171803835090099</v>
      </c>
      <c r="D53" s="2" t="s">
        <v>196</v>
      </c>
      <c r="F53" s="5" t="str">
        <f t="shared" si="0"/>
        <v>New "Load.M2_m2_trf_5286840a" bus1="82037555286840.1.2.3.4" phases=3 conn=Wye model=3 kv=0.380 kw=65,1506647474598 kvar=27,1718038350901 daily="RES-Tipo3_DU" status=variable vmaxpu=1.5 vminpu=0.92</v>
      </c>
      <c r="G53" t="s">
        <v>290</v>
      </c>
      <c r="H53" t="s">
        <v>291</v>
      </c>
      <c r="I53" s="4" t="str">
        <f t="shared" si="1"/>
        <v>m2_trf_5286840a</v>
      </c>
      <c r="J53" t="s">
        <v>292</v>
      </c>
      <c r="K53" t="s">
        <v>293</v>
      </c>
      <c r="L53" t="str">
        <f t="shared" si="2"/>
        <v>82037555286840</v>
      </c>
      <c r="M53" t="s">
        <v>294</v>
      </c>
      <c r="N53" t="s">
        <v>295</v>
      </c>
      <c r="O53" t="s">
        <v>296</v>
      </c>
      <c r="P53" t="s">
        <v>297</v>
      </c>
      <c r="Q53" t="s">
        <v>298</v>
      </c>
      <c r="R53" t="s">
        <v>299</v>
      </c>
      <c r="S53" s="4">
        <f t="shared" si="3"/>
        <v>65.1506647474598</v>
      </c>
      <c r="T53" t="s">
        <v>300</v>
      </c>
      <c r="U53" s="4">
        <f t="shared" si="4"/>
        <v>27.171803835090099</v>
      </c>
      <c r="V53" t="s">
        <v>301</v>
      </c>
      <c r="W53" t="s">
        <v>302</v>
      </c>
      <c r="X53" t="s">
        <v>303</v>
      </c>
      <c r="Y53" t="s">
        <v>304</v>
      </c>
    </row>
    <row r="54" spans="1:25" x14ac:dyDescent="0.25">
      <c r="A54" t="s">
        <v>53</v>
      </c>
      <c r="B54">
        <v>39.267573705846701</v>
      </c>
      <c r="C54">
        <v>16.190350310518301</v>
      </c>
      <c r="D54" s="2" t="s">
        <v>197</v>
      </c>
      <c r="F54" s="5" t="str">
        <f t="shared" si="0"/>
        <v>New "Load.M2_m2_trf_5286841a" bus1="82039455286841.1.2.3.4" phases=3 conn=Wye model=3 kv=0.380 kw=39,2675737058467 kvar=16,1903503105183 daily="RES-Tipo3_DU" status=variable vmaxpu=1.5 vminpu=0.92</v>
      </c>
      <c r="G54" t="s">
        <v>290</v>
      </c>
      <c r="H54" t="s">
        <v>291</v>
      </c>
      <c r="I54" s="4" t="str">
        <f t="shared" si="1"/>
        <v>m2_trf_5286841a</v>
      </c>
      <c r="J54" t="s">
        <v>292</v>
      </c>
      <c r="K54" t="s">
        <v>293</v>
      </c>
      <c r="L54" t="str">
        <f t="shared" si="2"/>
        <v>82039455286841</v>
      </c>
      <c r="M54" t="s">
        <v>294</v>
      </c>
      <c r="N54" t="s">
        <v>295</v>
      </c>
      <c r="O54" t="s">
        <v>296</v>
      </c>
      <c r="P54" t="s">
        <v>297</v>
      </c>
      <c r="Q54" t="s">
        <v>298</v>
      </c>
      <c r="R54" t="s">
        <v>299</v>
      </c>
      <c r="S54" s="4">
        <f t="shared" si="3"/>
        <v>39.267573705846701</v>
      </c>
      <c r="T54" t="s">
        <v>300</v>
      </c>
      <c r="U54" s="4">
        <f t="shared" si="4"/>
        <v>16.190350310518301</v>
      </c>
      <c r="V54" t="s">
        <v>301</v>
      </c>
      <c r="W54" t="s">
        <v>302</v>
      </c>
      <c r="X54" t="s">
        <v>303</v>
      </c>
      <c r="Y54" t="s">
        <v>304</v>
      </c>
    </row>
    <row r="55" spans="1:25" x14ac:dyDescent="0.25">
      <c r="A55" t="s">
        <v>54</v>
      </c>
      <c r="B55">
        <v>42.323028796225501</v>
      </c>
      <c r="C55">
        <v>17.420693773800998</v>
      </c>
      <c r="D55" s="2" t="s">
        <v>198</v>
      </c>
      <c r="F55" s="5" t="str">
        <f t="shared" si="0"/>
        <v>New "Load.M2_m2_trf_5286842a" bus1="82039695286842.1.2.3.4" phases=3 conn=Wye model=3 kv=0.380 kw=42,3230287962255 kvar=17,420693773801 daily="RES-Tipo3_DU" status=variable vmaxpu=1.5 vminpu=0.92</v>
      </c>
      <c r="G55" t="s">
        <v>290</v>
      </c>
      <c r="H55" t="s">
        <v>291</v>
      </c>
      <c r="I55" s="4" t="str">
        <f t="shared" si="1"/>
        <v>m2_trf_5286842a</v>
      </c>
      <c r="J55" t="s">
        <v>292</v>
      </c>
      <c r="K55" t="s">
        <v>293</v>
      </c>
      <c r="L55" t="str">
        <f t="shared" si="2"/>
        <v>82039695286842</v>
      </c>
      <c r="M55" t="s">
        <v>294</v>
      </c>
      <c r="N55" t="s">
        <v>295</v>
      </c>
      <c r="O55" t="s">
        <v>296</v>
      </c>
      <c r="P55" t="s">
        <v>297</v>
      </c>
      <c r="Q55" t="s">
        <v>298</v>
      </c>
      <c r="R55" t="s">
        <v>299</v>
      </c>
      <c r="S55" s="4">
        <f t="shared" si="3"/>
        <v>42.323028796225501</v>
      </c>
      <c r="T55" t="s">
        <v>300</v>
      </c>
      <c r="U55" s="4">
        <f t="shared" si="4"/>
        <v>17.420693773800998</v>
      </c>
      <c r="V55" t="s">
        <v>301</v>
      </c>
      <c r="W55" t="s">
        <v>302</v>
      </c>
      <c r="X55" t="s">
        <v>303</v>
      </c>
      <c r="Y55" t="s">
        <v>304</v>
      </c>
    </row>
    <row r="56" spans="1:25" x14ac:dyDescent="0.25">
      <c r="A56" t="s">
        <v>55</v>
      </c>
      <c r="B56">
        <v>32.276396102612502</v>
      </c>
      <c r="C56">
        <v>13.3524742551641</v>
      </c>
      <c r="D56" s="2" t="s">
        <v>199</v>
      </c>
      <c r="F56" s="5" t="str">
        <f t="shared" si="0"/>
        <v>New "Load.M2_m2_trf_5286843a" bus1="82042105286843.1.2.3.4" phases=3 conn=Wye model=3 kv=0.380 kw=32,2763961026125 kvar=13,3524742551641 daily="RES-Tipo3_DU" status=variable vmaxpu=1.5 vminpu=0.92</v>
      </c>
      <c r="G56" t="s">
        <v>290</v>
      </c>
      <c r="H56" t="s">
        <v>291</v>
      </c>
      <c r="I56" s="4" t="str">
        <f t="shared" si="1"/>
        <v>m2_trf_5286843a</v>
      </c>
      <c r="J56" t="s">
        <v>292</v>
      </c>
      <c r="K56" t="s">
        <v>293</v>
      </c>
      <c r="L56" t="str">
        <f t="shared" si="2"/>
        <v>82042105286843</v>
      </c>
      <c r="M56" t="s">
        <v>294</v>
      </c>
      <c r="N56" t="s">
        <v>295</v>
      </c>
      <c r="O56" t="s">
        <v>296</v>
      </c>
      <c r="P56" t="s">
        <v>297</v>
      </c>
      <c r="Q56" t="s">
        <v>298</v>
      </c>
      <c r="R56" t="s">
        <v>299</v>
      </c>
      <c r="S56" s="4">
        <f t="shared" si="3"/>
        <v>32.276396102612502</v>
      </c>
      <c r="T56" t="s">
        <v>300</v>
      </c>
      <c r="U56" s="4">
        <f t="shared" si="4"/>
        <v>13.3524742551641</v>
      </c>
      <c r="V56" t="s">
        <v>301</v>
      </c>
      <c r="W56" t="s">
        <v>302</v>
      </c>
      <c r="X56" t="s">
        <v>303</v>
      </c>
      <c r="Y56" t="s">
        <v>304</v>
      </c>
    </row>
    <row r="57" spans="1:25" x14ac:dyDescent="0.25">
      <c r="A57" t="s">
        <v>56</v>
      </c>
      <c r="B57">
        <v>29.802444614480802</v>
      </c>
      <c r="C57">
        <v>12.3213854439987</v>
      </c>
      <c r="D57" s="2" t="s">
        <v>200</v>
      </c>
      <c r="F57" s="5" t="str">
        <f t="shared" si="0"/>
        <v>New "Load.M2_m2_trf_5286844a" bus1="82042165286844.1.2.3.4" phases=3 conn=Wye model=3 kv=0.380 kw=29,8024446144808 kvar=12,3213854439987 daily="RES-Tipo3_DU" status=variable vmaxpu=1.5 vminpu=0.92</v>
      </c>
      <c r="G57" t="s">
        <v>290</v>
      </c>
      <c r="H57" t="s">
        <v>291</v>
      </c>
      <c r="I57" s="4" t="str">
        <f t="shared" si="1"/>
        <v>m2_trf_5286844a</v>
      </c>
      <c r="J57" t="s">
        <v>292</v>
      </c>
      <c r="K57" t="s">
        <v>293</v>
      </c>
      <c r="L57" t="str">
        <f t="shared" si="2"/>
        <v>82042165286844</v>
      </c>
      <c r="M57" t="s">
        <v>294</v>
      </c>
      <c r="N57" t="s">
        <v>295</v>
      </c>
      <c r="O57" t="s">
        <v>296</v>
      </c>
      <c r="P57" t="s">
        <v>297</v>
      </c>
      <c r="Q57" t="s">
        <v>298</v>
      </c>
      <c r="R57" t="s">
        <v>299</v>
      </c>
      <c r="S57" s="4">
        <f t="shared" si="3"/>
        <v>29.802444614480802</v>
      </c>
      <c r="T57" t="s">
        <v>300</v>
      </c>
      <c r="U57" s="4">
        <f t="shared" si="4"/>
        <v>12.3213854439987</v>
      </c>
      <c r="V57" t="s">
        <v>301</v>
      </c>
      <c r="W57" t="s">
        <v>302</v>
      </c>
      <c r="X57" t="s">
        <v>303</v>
      </c>
      <c r="Y57" t="s">
        <v>304</v>
      </c>
    </row>
    <row r="58" spans="1:25" x14ac:dyDescent="0.25">
      <c r="A58" t="s">
        <v>57</v>
      </c>
      <c r="B58">
        <v>41.022309136066397</v>
      </c>
      <c r="C58">
        <v>16.875218748489399</v>
      </c>
      <c r="D58" s="2" t="s">
        <v>201</v>
      </c>
      <c r="F58" s="5" t="str">
        <f t="shared" si="0"/>
        <v>New "Load.M2_m2_trf_5286845a" bus1="82042275286845.1.2.3.4" phases=3 conn=Wye model=3 kv=0.380 kw=41,0223091360664 kvar=16,8752187484894 daily="RES-Tipo3_DU" status=variable vmaxpu=1.5 vminpu=0.92</v>
      </c>
      <c r="G58" t="s">
        <v>290</v>
      </c>
      <c r="H58" t="s">
        <v>291</v>
      </c>
      <c r="I58" s="4" t="str">
        <f t="shared" si="1"/>
        <v>m2_trf_5286845a</v>
      </c>
      <c r="J58" t="s">
        <v>292</v>
      </c>
      <c r="K58" t="s">
        <v>293</v>
      </c>
      <c r="L58" t="str">
        <f t="shared" si="2"/>
        <v>82042275286845</v>
      </c>
      <c r="M58" t="s">
        <v>294</v>
      </c>
      <c r="N58" t="s">
        <v>295</v>
      </c>
      <c r="O58" t="s">
        <v>296</v>
      </c>
      <c r="P58" t="s">
        <v>297</v>
      </c>
      <c r="Q58" t="s">
        <v>298</v>
      </c>
      <c r="R58" t="s">
        <v>299</v>
      </c>
      <c r="S58" s="4">
        <f t="shared" si="3"/>
        <v>41.022309136066397</v>
      </c>
      <c r="T58" t="s">
        <v>300</v>
      </c>
      <c r="U58" s="4">
        <f t="shared" si="4"/>
        <v>16.875218748489399</v>
      </c>
      <c r="V58" t="s">
        <v>301</v>
      </c>
      <c r="W58" t="s">
        <v>302</v>
      </c>
      <c r="X58" t="s">
        <v>303</v>
      </c>
      <c r="Y58" t="s">
        <v>304</v>
      </c>
    </row>
    <row r="59" spans="1:25" x14ac:dyDescent="0.25">
      <c r="A59" t="s">
        <v>58</v>
      </c>
      <c r="B59">
        <v>31.967990668892998</v>
      </c>
      <c r="C59">
        <v>13.136996471609001</v>
      </c>
      <c r="D59" s="2" t="s">
        <v>202</v>
      </c>
      <c r="F59" s="5" t="str">
        <f t="shared" si="0"/>
        <v>New "Load.M2_m2_trf_5286846a" bus1="82041545286846.1.2.3.4" phases=3 conn=Wye model=3 kv=0.380 kw=31,967990668893 kvar=13,136996471609 daily="RES-Tipo3_DU" status=variable vmaxpu=1.5 vminpu=0.92</v>
      </c>
      <c r="G59" t="s">
        <v>290</v>
      </c>
      <c r="H59" t="s">
        <v>291</v>
      </c>
      <c r="I59" s="4" t="str">
        <f t="shared" si="1"/>
        <v>m2_trf_5286846a</v>
      </c>
      <c r="J59" t="s">
        <v>292</v>
      </c>
      <c r="K59" t="s">
        <v>293</v>
      </c>
      <c r="L59" t="str">
        <f t="shared" si="2"/>
        <v>82041545286846</v>
      </c>
      <c r="M59" t="s">
        <v>294</v>
      </c>
      <c r="N59" t="s">
        <v>295</v>
      </c>
      <c r="O59" t="s">
        <v>296</v>
      </c>
      <c r="P59" t="s">
        <v>297</v>
      </c>
      <c r="Q59" t="s">
        <v>298</v>
      </c>
      <c r="R59" t="s">
        <v>299</v>
      </c>
      <c r="S59" s="4">
        <f t="shared" si="3"/>
        <v>31.967990668892998</v>
      </c>
      <c r="T59" t="s">
        <v>300</v>
      </c>
      <c r="U59" s="4">
        <f t="shared" si="4"/>
        <v>13.136996471609001</v>
      </c>
      <c r="V59" t="s">
        <v>301</v>
      </c>
      <c r="W59" t="s">
        <v>302</v>
      </c>
      <c r="X59" t="s">
        <v>303</v>
      </c>
      <c r="Y59" t="s">
        <v>304</v>
      </c>
    </row>
    <row r="60" spans="1:25" x14ac:dyDescent="0.25">
      <c r="A60" t="s">
        <v>59</v>
      </c>
      <c r="B60">
        <v>56.2107318734055</v>
      </c>
      <c r="C60">
        <v>23.137057502642101</v>
      </c>
      <c r="D60" s="2" t="s">
        <v>203</v>
      </c>
      <c r="F60" s="5" t="str">
        <f t="shared" si="0"/>
        <v>New "Load.M2_m2_trf_5286857a" bus1="82062475286857.1.2.3.4" phases=3 conn=Wye model=3 kv=0.380 kw=56,2107318734055 kvar=23,1370575026421 daily="RES-Tipo3_DU" status=variable vmaxpu=1.5 vminpu=0.92</v>
      </c>
      <c r="G60" t="s">
        <v>290</v>
      </c>
      <c r="H60" t="s">
        <v>291</v>
      </c>
      <c r="I60" s="4" t="str">
        <f t="shared" si="1"/>
        <v>m2_trf_5286857a</v>
      </c>
      <c r="J60" t="s">
        <v>292</v>
      </c>
      <c r="K60" t="s">
        <v>293</v>
      </c>
      <c r="L60" t="str">
        <f t="shared" si="2"/>
        <v>82062475286857</v>
      </c>
      <c r="M60" t="s">
        <v>294</v>
      </c>
      <c r="N60" t="s">
        <v>295</v>
      </c>
      <c r="O60" t="s">
        <v>296</v>
      </c>
      <c r="P60" t="s">
        <v>297</v>
      </c>
      <c r="Q60" t="s">
        <v>298</v>
      </c>
      <c r="R60" t="s">
        <v>299</v>
      </c>
      <c r="S60" s="4">
        <f t="shared" si="3"/>
        <v>56.2107318734055</v>
      </c>
      <c r="T60" t="s">
        <v>300</v>
      </c>
      <c r="U60" s="4">
        <f t="shared" si="4"/>
        <v>23.137057502642101</v>
      </c>
      <c r="V60" t="s">
        <v>301</v>
      </c>
      <c r="W60" t="s">
        <v>302</v>
      </c>
      <c r="X60" t="s">
        <v>303</v>
      </c>
      <c r="Y60" t="s">
        <v>304</v>
      </c>
    </row>
    <row r="61" spans="1:25" x14ac:dyDescent="0.25">
      <c r="A61" t="s">
        <v>60</v>
      </c>
      <c r="B61">
        <v>39.792361142036498</v>
      </c>
      <c r="C61">
        <v>16.417040446767999</v>
      </c>
      <c r="D61" s="2" t="s">
        <v>204</v>
      </c>
      <c r="F61" s="5" t="str">
        <f t="shared" si="0"/>
        <v>New "Load.M2_m2_trf_5286858a" bus1="82064145286858.1.2.3.4" phases=3 conn=Wye model=3 kv=0.380 kw=39,7923611420365 kvar=16,417040446768 daily="RES-Tipo3_DU" status=variable vmaxpu=1.5 vminpu=0.92</v>
      </c>
      <c r="G61" t="s">
        <v>290</v>
      </c>
      <c r="H61" t="s">
        <v>291</v>
      </c>
      <c r="I61" s="4" t="str">
        <f t="shared" si="1"/>
        <v>m2_trf_5286858a</v>
      </c>
      <c r="J61" t="s">
        <v>292</v>
      </c>
      <c r="K61" t="s">
        <v>293</v>
      </c>
      <c r="L61" t="str">
        <f t="shared" si="2"/>
        <v>82064145286858</v>
      </c>
      <c r="M61" t="s">
        <v>294</v>
      </c>
      <c r="N61" t="s">
        <v>295</v>
      </c>
      <c r="O61" t="s">
        <v>296</v>
      </c>
      <c r="P61" t="s">
        <v>297</v>
      </c>
      <c r="Q61" t="s">
        <v>298</v>
      </c>
      <c r="R61" t="s">
        <v>299</v>
      </c>
      <c r="S61" s="4">
        <f t="shared" si="3"/>
        <v>39.792361142036498</v>
      </c>
      <c r="T61" t="s">
        <v>300</v>
      </c>
      <c r="U61" s="4">
        <f t="shared" si="4"/>
        <v>16.417040446767999</v>
      </c>
      <c r="V61" t="s">
        <v>301</v>
      </c>
      <c r="W61" t="s">
        <v>302</v>
      </c>
      <c r="X61" t="s">
        <v>303</v>
      </c>
      <c r="Y61" t="s">
        <v>304</v>
      </c>
    </row>
    <row r="62" spans="1:25" x14ac:dyDescent="0.25">
      <c r="A62" t="s">
        <v>61</v>
      </c>
      <c r="B62">
        <v>26.722308620281598</v>
      </c>
      <c r="C62">
        <v>11.0438029153354</v>
      </c>
      <c r="D62" s="2" t="s">
        <v>205</v>
      </c>
      <c r="F62" s="5" t="str">
        <f t="shared" si="0"/>
        <v>New "Load.M2_m2_trf_5286860a" bus1="82065235286860.1.2.3.4" phases=3 conn=Wye model=3 kv=0.380 kw=26,7223086202816 kvar=11,0438029153354 daily="RES-Tipo3_DU" status=variable vmaxpu=1.5 vminpu=0.92</v>
      </c>
      <c r="G62" t="s">
        <v>290</v>
      </c>
      <c r="H62" t="s">
        <v>291</v>
      </c>
      <c r="I62" s="4" t="str">
        <f t="shared" si="1"/>
        <v>m2_trf_5286860a</v>
      </c>
      <c r="J62" t="s">
        <v>292</v>
      </c>
      <c r="K62" t="s">
        <v>293</v>
      </c>
      <c r="L62" t="str">
        <f t="shared" si="2"/>
        <v>82065235286860</v>
      </c>
      <c r="M62" t="s">
        <v>294</v>
      </c>
      <c r="N62" t="s">
        <v>295</v>
      </c>
      <c r="O62" t="s">
        <v>296</v>
      </c>
      <c r="P62" t="s">
        <v>297</v>
      </c>
      <c r="Q62" t="s">
        <v>298</v>
      </c>
      <c r="R62" t="s">
        <v>299</v>
      </c>
      <c r="S62" s="4">
        <f t="shared" si="3"/>
        <v>26.722308620281598</v>
      </c>
      <c r="T62" t="s">
        <v>300</v>
      </c>
      <c r="U62" s="4">
        <f t="shared" si="4"/>
        <v>11.0438029153354</v>
      </c>
      <c r="V62" t="s">
        <v>301</v>
      </c>
      <c r="W62" t="s">
        <v>302</v>
      </c>
      <c r="X62" t="s">
        <v>303</v>
      </c>
      <c r="Y62" t="s">
        <v>304</v>
      </c>
    </row>
    <row r="63" spans="1:25" x14ac:dyDescent="0.25">
      <c r="A63" t="s">
        <v>62</v>
      </c>
      <c r="B63">
        <v>31.471938440552599</v>
      </c>
      <c r="C63">
        <v>12.9677858401915</v>
      </c>
      <c r="D63" s="2" t="s">
        <v>206</v>
      </c>
      <c r="F63" s="5" t="str">
        <f t="shared" si="0"/>
        <v>New "Load.M2_m2_trf_5286861a" bus1="82064065286861.1.2.3.4" phases=3 conn=Wye model=3 kv=0.380 kw=31,4719384405526 kvar=12,9677858401915 daily="RES-Tipo3_DU" status=variable vmaxpu=1.5 vminpu=0.92</v>
      </c>
      <c r="G63" t="s">
        <v>290</v>
      </c>
      <c r="H63" t="s">
        <v>291</v>
      </c>
      <c r="I63" s="4" t="str">
        <f t="shared" si="1"/>
        <v>m2_trf_5286861a</v>
      </c>
      <c r="J63" t="s">
        <v>292</v>
      </c>
      <c r="K63" t="s">
        <v>293</v>
      </c>
      <c r="L63" t="str">
        <f t="shared" si="2"/>
        <v>82064065286861</v>
      </c>
      <c r="M63" t="s">
        <v>294</v>
      </c>
      <c r="N63" t="s">
        <v>295</v>
      </c>
      <c r="O63" t="s">
        <v>296</v>
      </c>
      <c r="P63" t="s">
        <v>297</v>
      </c>
      <c r="Q63" t="s">
        <v>298</v>
      </c>
      <c r="R63" t="s">
        <v>299</v>
      </c>
      <c r="S63" s="4">
        <f t="shared" si="3"/>
        <v>31.471938440552599</v>
      </c>
      <c r="T63" t="s">
        <v>300</v>
      </c>
      <c r="U63" s="4">
        <f t="shared" si="4"/>
        <v>12.9677858401915</v>
      </c>
      <c r="V63" t="s">
        <v>301</v>
      </c>
      <c r="W63" t="s">
        <v>302</v>
      </c>
      <c r="X63" t="s">
        <v>303</v>
      </c>
      <c r="Y63" t="s">
        <v>304</v>
      </c>
    </row>
    <row r="64" spans="1:25" x14ac:dyDescent="0.25">
      <c r="A64" t="s">
        <v>63</v>
      </c>
      <c r="B64">
        <v>45.053381515456003</v>
      </c>
      <c r="C64">
        <v>18.491038932226299</v>
      </c>
      <c r="D64" s="2" t="s">
        <v>207</v>
      </c>
      <c r="F64" s="5" t="str">
        <f t="shared" si="0"/>
        <v>New "Load.M2_m2_trf_5286862a" bus1="82065285286862.1.2.3.4" phases=3 conn=Wye model=3 kv=0.380 kw=45,053381515456 kvar=18,4910389322263 daily="RES-Tipo3_DU" status=variable vmaxpu=1.5 vminpu=0.92</v>
      </c>
      <c r="G64" t="s">
        <v>290</v>
      </c>
      <c r="H64" t="s">
        <v>291</v>
      </c>
      <c r="I64" s="4" t="str">
        <f t="shared" si="1"/>
        <v>m2_trf_5286862a</v>
      </c>
      <c r="J64" t="s">
        <v>292</v>
      </c>
      <c r="K64" t="s">
        <v>293</v>
      </c>
      <c r="L64" t="str">
        <f t="shared" si="2"/>
        <v>82065285286862</v>
      </c>
      <c r="M64" t="s">
        <v>294</v>
      </c>
      <c r="N64" t="s">
        <v>295</v>
      </c>
      <c r="O64" t="s">
        <v>296</v>
      </c>
      <c r="P64" t="s">
        <v>297</v>
      </c>
      <c r="Q64" t="s">
        <v>298</v>
      </c>
      <c r="R64" t="s">
        <v>299</v>
      </c>
      <c r="S64" s="4">
        <f t="shared" si="3"/>
        <v>45.053381515456003</v>
      </c>
      <c r="T64" t="s">
        <v>300</v>
      </c>
      <c r="U64" s="4">
        <f t="shared" si="4"/>
        <v>18.491038932226299</v>
      </c>
      <c r="V64" t="s">
        <v>301</v>
      </c>
      <c r="W64" t="s">
        <v>302</v>
      </c>
      <c r="X64" t="s">
        <v>303</v>
      </c>
      <c r="Y64" t="s">
        <v>304</v>
      </c>
    </row>
    <row r="65" spans="1:25" x14ac:dyDescent="0.25">
      <c r="A65" t="s">
        <v>64</v>
      </c>
      <c r="B65">
        <v>35.553460441118602</v>
      </c>
      <c r="C65">
        <v>14.6963924217144</v>
      </c>
      <c r="D65" s="2" t="s">
        <v>208</v>
      </c>
      <c r="F65" s="5" t="str">
        <f t="shared" si="0"/>
        <v>New "Load.M2_m2_trf_5286863a" bus1="82064825286863.1.2.3.4" phases=3 conn=Wye model=3 kv=0.380 kw=35,5534604411186 kvar=14,6963924217144 daily="RES-Tipo3_DU" status=variable vmaxpu=1.5 vminpu=0.92</v>
      </c>
      <c r="G65" t="s">
        <v>290</v>
      </c>
      <c r="H65" t="s">
        <v>291</v>
      </c>
      <c r="I65" s="4" t="str">
        <f t="shared" si="1"/>
        <v>m2_trf_5286863a</v>
      </c>
      <c r="J65" t="s">
        <v>292</v>
      </c>
      <c r="K65" t="s">
        <v>293</v>
      </c>
      <c r="L65" t="str">
        <f t="shared" si="2"/>
        <v>82064825286863</v>
      </c>
      <c r="M65" t="s">
        <v>294</v>
      </c>
      <c r="N65" t="s">
        <v>295</v>
      </c>
      <c r="O65" t="s">
        <v>296</v>
      </c>
      <c r="P65" t="s">
        <v>297</v>
      </c>
      <c r="Q65" t="s">
        <v>298</v>
      </c>
      <c r="R65" t="s">
        <v>299</v>
      </c>
      <c r="S65" s="4">
        <f t="shared" si="3"/>
        <v>35.553460441118602</v>
      </c>
      <c r="T65" t="s">
        <v>300</v>
      </c>
      <c r="U65" s="4">
        <f t="shared" si="4"/>
        <v>14.6963924217144</v>
      </c>
      <c r="V65" t="s">
        <v>301</v>
      </c>
      <c r="W65" t="s">
        <v>302</v>
      </c>
      <c r="X65" t="s">
        <v>303</v>
      </c>
      <c r="Y65" t="s">
        <v>304</v>
      </c>
    </row>
    <row r="66" spans="1:25" x14ac:dyDescent="0.25">
      <c r="A66" t="s">
        <v>65</v>
      </c>
      <c r="B66">
        <v>36.111653390691302</v>
      </c>
      <c r="C66">
        <v>14.912220603038</v>
      </c>
      <c r="D66" s="2" t="s">
        <v>209</v>
      </c>
      <c r="F66" s="5" t="str">
        <f t="shared" si="0"/>
        <v>New "Load.M2_m2_trf_5286864a" bus1="82064425286864.1.2.3.4" phases=3 conn=Wye model=3 kv=0.380 kw=36,1116533906913 kvar=14,912220603038 daily="RES-Tipo3_DU" status=variable vmaxpu=1.5 vminpu=0.92</v>
      </c>
      <c r="G66" t="s">
        <v>290</v>
      </c>
      <c r="H66" t="s">
        <v>291</v>
      </c>
      <c r="I66" s="4" t="str">
        <f t="shared" si="1"/>
        <v>m2_trf_5286864a</v>
      </c>
      <c r="J66" t="s">
        <v>292</v>
      </c>
      <c r="K66" t="s">
        <v>293</v>
      </c>
      <c r="L66" t="str">
        <f t="shared" si="2"/>
        <v>82064425286864</v>
      </c>
      <c r="M66" t="s">
        <v>294</v>
      </c>
      <c r="N66" t="s">
        <v>295</v>
      </c>
      <c r="O66" t="s">
        <v>296</v>
      </c>
      <c r="P66" t="s">
        <v>297</v>
      </c>
      <c r="Q66" t="s">
        <v>298</v>
      </c>
      <c r="R66" t="s">
        <v>299</v>
      </c>
      <c r="S66" s="4">
        <f t="shared" si="3"/>
        <v>36.111653390691302</v>
      </c>
      <c r="T66" t="s">
        <v>300</v>
      </c>
      <c r="U66" s="4">
        <f t="shared" si="4"/>
        <v>14.912220603038</v>
      </c>
      <c r="V66" t="s">
        <v>301</v>
      </c>
      <c r="W66" t="s">
        <v>302</v>
      </c>
      <c r="X66" t="s">
        <v>303</v>
      </c>
      <c r="Y66" t="s">
        <v>304</v>
      </c>
    </row>
    <row r="67" spans="1:25" x14ac:dyDescent="0.25">
      <c r="A67" t="s">
        <v>66</v>
      </c>
      <c r="B67">
        <v>35.412833704190398</v>
      </c>
      <c r="C67">
        <v>14.582518196886999</v>
      </c>
      <c r="D67" s="2" t="s">
        <v>210</v>
      </c>
      <c r="F67" s="5" t="str">
        <f t="shared" ref="F67:F130" si="5">_xlfn.CONCAT(G67:Y67)</f>
        <v>New "Load.M2_m2_trf_5286865a" bus1="82065005286865.1.2.3.4" phases=3 conn=Wye model=3 kv=0.380 kw=35,4128337041904 kvar=14,582518196887 daily="RES-Tipo3_DU" status=variable vmaxpu=1.5 vminpu=0.92</v>
      </c>
      <c r="G67" t="s">
        <v>290</v>
      </c>
      <c r="H67" t="s">
        <v>291</v>
      </c>
      <c r="I67" s="4" t="str">
        <f t="shared" ref="I67:I130" si="6">A67</f>
        <v>m2_trf_5286865a</v>
      </c>
      <c r="J67" t="s">
        <v>292</v>
      </c>
      <c r="K67" t="s">
        <v>293</v>
      </c>
      <c r="L67" t="str">
        <f t="shared" ref="L67:L130" si="7">D67</f>
        <v>82065005286865</v>
      </c>
      <c r="M67" t="s">
        <v>294</v>
      </c>
      <c r="N67" t="s">
        <v>295</v>
      </c>
      <c r="O67" t="s">
        <v>296</v>
      </c>
      <c r="P67" t="s">
        <v>297</v>
      </c>
      <c r="Q67" t="s">
        <v>298</v>
      </c>
      <c r="R67" t="s">
        <v>299</v>
      </c>
      <c r="S67" s="4">
        <f t="shared" ref="S67:S130" si="8">B67</f>
        <v>35.412833704190398</v>
      </c>
      <c r="T67" t="s">
        <v>300</v>
      </c>
      <c r="U67" s="4">
        <f t="shared" ref="U67:U130" si="9">C67</f>
        <v>14.582518196886999</v>
      </c>
      <c r="V67" t="s">
        <v>301</v>
      </c>
      <c r="W67" t="s">
        <v>302</v>
      </c>
      <c r="X67" t="s">
        <v>303</v>
      </c>
      <c r="Y67" t="s">
        <v>304</v>
      </c>
    </row>
    <row r="68" spans="1:25" x14ac:dyDescent="0.25">
      <c r="A68" t="s">
        <v>67</v>
      </c>
      <c r="B68">
        <v>45.381436185540103</v>
      </c>
      <c r="C68">
        <v>18.686044474151</v>
      </c>
      <c r="D68" s="2" t="s">
        <v>211</v>
      </c>
      <c r="F68" s="5" t="str">
        <f t="shared" si="5"/>
        <v>New "Load.M2_m2_trf_5286866a" bus1="82063385286866.1.2.3.4" phases=3 conn=Wye model=3 kv=0.380 kw=45,3814361855401 kvar=18,686044474151 daily="RES-Tipo3_DU" status=variable vmaxpu=1.5 vminpu=0.92</v>
      </c>
      <c r="G68" t="s">
        <v>290</v>
      </c>
      <c r="H68" t="s">
        <v>291</v>
      </c>
      <c r="I68" s="4" t="str">
        <f t="shared" si="6"/>
        <v>m2_trf_5286866a</v>
      </c>
      <c r="J68" t="s">
        <v>292</v>
      </c>
      <c r="K68" t="s">
        <v>293</v>
      </c>
      <c r="L68" t="str">
        <f t="shared" si="7"/>
        <v>82063385286866</v>
      </c>
      <c r="M68" t="s">
        <v>294</v>
      </c>
      <c r="N68" t="s">
        <v>295</v>
      </c>
      <c r="O68" t="s">
        <v>296</v>
      </c>
      <c r="P68" t="s">
        <v>297</v>
      </c>
      <c r="Q68" t="s">
        <v>298</v>
      </c>
      <c r="R68" t="s">
        <v>299</v>
      </c>
      <c r="S68" s="4">
        <f t="shared" si="8"/>
        <v>45.381436185540103</v>
      </c>
      <c r="T68" t="s">
        <v>300</v>
      </c>
      <c r="U68" s="4">
        <f t="shared" si="9"/>
        <v>18.686044474151</v>
      </c>
      <c r="V68" t="s">
        <v>301</v>
      </c>
      <c r="W68" t="s">
        <v>302</v>
      </c>
      <c r="X68" t="s">
        <v>303</v>
      </c>
      <c r="Y68" t="s">
        <v>304</v>
      </c>
    </row>
    <row r="69" spans="1:25" x14ac:dyDescent="0.25">
      <c r="A69" t="s">
        <v>68</v>
      </c>
      <c r="B69">
        <v>42.788704269382897</v>
      </c>
      <c r="C69">
        <v>17.482183622443099</v>
      </c>
      <c r="D69" s="2" t="s">
        <v>212</v>
      </c>
      <c r="F69" s="5" t="str">
        <f t="shared" si="5"/>
        <v>New "Load.M2_m2_trf_5286867a" bus1="82044385286867.1.2.3.4" phases=3 conn=Wye model=3 kv=0.380 kw=42,7887042693829 kvar=17,4821836224431 daily="RES-Tipo3_DU" status=variable vmaxpu=1.5 vminpu=0.92</v>
      </c>
      <c r="G69" t="s">
        <v>290</v>
      </c>
      <c r="H69" t="s">
        <v>291</v>
      </c>
      <c r="I69" s="4" t="str">
        <f t="shared" si="6"/>
        <v>m2_trf_5286867a</v>
      </c>
      <c r="J69" t="s">
        <v>292</v>
      </c>
      <c r="K69" t="s">
        <v>293</v>
      </c>
      <c r="L69" t="str">
        <f t="shared" si="7"/>
        <v>82044385286867</v>
      </c>
      <c r="M69" t="s">
        <v>294</v>
      </c>
      <c r="N69" t="s">
        <v>295</v>
      </c>
      <c r="O69" t="s">
        <v>296</v>
      </c>
      <c r="P69" t="s">
        <v>297</v>
      </c>
      <c r="Q69" t="s">
        <v>298</v>
      </c>
      <c r="R69" t="s">
        <v>299</v>
      </c>
      <c r="S69" s="4">
        <f t="shared" si="8"/>
        <v>42.788704269382897</v>
      </c>
      <c r="T69" t="s">
        <v>300</v>
      </c>
      <c r="U69" s="4">
        <f t="shared" si="9"/>
        <v>17.482183622443099</v>
      </c>
      <c r="V69" t="s">
        <v>301</v>
      </c>
      <c r="W69" t="s">
        <v>302</v>
      </c>
      <c r="X69" t="s">
        <v>303</v>
      </c>
      <c r="Y69" t="s">
        <v>304</v>
      </c>
    </row>
    <row r="70" spans="1:25" x14ac:dyDescent="0.25">
      <c r="A70" t="s">
        <v>69</v>
      </c>
      <c r="B70">
        <v>30.485925369013799</v>
      </c>
      <c r="C70">
        <v>12.522142900686299</v>
      </c>
      <c r="D70" s="2" t="s">
        <v>213</v>
      </c>
      <c r="F70" s="5" t="str">
        <f t="shared" si="5"/>
        <v>New "Load.M2_m2_trf_5286871a" bus1="82055725286871.1.2.3.4" phases=3 conn=Wye model=3 kv=0.380 kw=30,4859253690138 kvar=12,5221429006863 daily="RES-Tipo3_DU" status=variable vmaxpu=1.5 vminpu=0.92</v>
      </c>
      <c r="G70" t="s">
        <v>290</v>
      </c>
      <c r="H70" t="s">
        <v>291</v>
      </c>
      <c r="I70" s="4" t="str">
        <f t="shared" si="6"/>
        <v>m2_trf_5286871a</v>
      </c>
      <c r="J70" t="s">
        <v>292</v>
      </c>
      <c r="K70" t="s">
        <v>293</v>
      </c>
      <c r="L70" t="str">
        <f t="shared" si="7"/>
        <v>82055725286871</v>
      </c>
      <c r="M70" t="s">
        <v>294</v>
      </c>
      <c r="N70" t="s">
        <v>295</v>
      </c>
      <c r="O70" t="s">
        <v>296</v>
      </c>
      <c r="P70" t="s">
        <v>297</v>
      </c>
      <c r="Q70" t="s">
        <v>298</v>
      </c>
      <c r="R70" t="s">
        <v>299</v>
      </c>
      <c r="S70" s="4">
        <f t="shared" si="8"/>
        <v>30.485925369013799</v>
      </c>
      <c r="T70" t="s">
        <v>300</v>
      </c>
      <c r="U70" s="4">
        <f t="shared" si="9"/>
        <v>12.522142900686299</v>
      </c>
      <c r="V70" t="s">
        <v>301</v>
      </c>
      <c r="W70" t="s">
        <v>302</v>
      </c>
      <c r="X70" t="s">
        <v>303</v>
      </c>
      <c r="Y70" t="s">
        <v>304</v>
      </c>
    </row>
    <row r="71" spans="1:25" x14ac:dyDescent="0.25">
      <c r="A71" t="s">
        <v>70</v>
      </c>
      <c r="B71">
        <v>28.794576489330201</v>
      </c>
      <c r="C71">
        <v>11.656435081236401</v>
      </c>
      <c r="D71" s="2" t="s">
        <v>214</v>
      </c>
      <c r="F71" s="5" t="str">
        <f t="shared" si="5"/>
        <v>New "Load.M2_m2_trf_5286872a" bus1="82054825286872.1.2.3.4" phases=3 conn=Wye model=3 kv=0.380 kw=28,7945764893302 kvar=11,6564350812364 daily="RES-Tipo3_DU" status=variable vmaxpu=1.5 vminpu=0.92</v>
      </c>
      <c r="G71" t="s">
        <v>290</v>
      </c>
      <c r="H71" t="s">
        <v>291</v>
      </c>
      <c r="I71" s="4" t="str">
        <f t="shared" si="6"/>
        <v>m2_trf_5286872a</v>
      </c>
      <c r="J71" t="s">
        <v>292</v>
      </c>
      <c r="K71" t="s">
        <v>293</v>
      </c>
      <c r="L71" t="str">
        <f t="shared" si="7"/>
        <v>82054825286872</v>
      </c>
      <c r="M71" t="s">
        <v>294</v>
      </c>
      <c r="N71" t="s">
        <v>295</v>
      </c>
      <c r="O71" t="s">
        <v>296</v>
      </c>
      <c r="P71" t="s">
        <v>297</v>
      </c>
      <c r="Q71" t="s">
        <v>298</v>
      </c>
      <c r="R71" t="s">
        <v>299</v>
      </c>
      <c r="S71" s="4">
        <f t="shared" si="8"/>
        <v>28.794576489330201</v>
      </c>
      <c r="T71" t="s">
        <v>300</v>
      </c>
      <c r="U71" s="4">
        <f t="shared" si="9"/>
        <v>11.656435081236401</v>
      </c>
      <c r="V71" t="s">
        <v>301</v>
      </c>
      <c r="W71" t="s">
        <v>302</v>
      </c>
      <c r="X71" t="s">
        <v>303</v>
      </c>
      <c r="Y71" t="s">
        <v>304</v>
      </c>
    </row>
    <row r="72" spans="1:25" x14ac:dyDescent="0.25">
      <c r="A72" t="s">
        <v>71</v>
      </c>
      <c r="B72">
        <v>40.204583087558802</v>
      </c>
      <c r="C72">
        <v>16.601381044965201</v>
      </c>
      <c r="D72" s="2" t="s">
        <v>215</v>
      </c>
      <c r="F72" s="5" t="str">
        <f t="shared" si="5"/>
        <v>New "Load.M2_m2_trf_5286890a" bus1="82056915286890.1.2.3.4" phases=3 conn=Wye model=3 kv=0.380 kw=40,2045830875588 kvar=16,6013810449652 daily="RES-Tipo3_DU" status=variable vmaxpu=1.5 vminpu=0.92</v>
      </c>
      <c r="G72" t="s">
        <v>290</v>
      </c>
      <c r="H72" t="s">
        <v>291</v>
      </c>
      <c r="I72" s="4" t="str">
        <f t="shared" si="6"/>
        <v>m2_trf_5286890a</v>
      </c>
      <c r="J72" t="s">
        <v>292</v>
      </c>
      <c r="K72" t="s">
        <v>293</v>
      </c>
      <c r="L72" t="str">
        <f t="shared" si="7"/>
        <v>82056915286890</v>
      </c>
      <c r="M72" t="s">
        <v>294</v>
      </c>
      <c r="N72" t="s">
        <v>295</v>
      </c>
      <c r="O72" t="s">
        <v>296</v>
      </c>
      <c r="P72" t="s">
        <v>297</v>
      </c>
      <c r="Q72" t="s">
        <v>298</v>
      </c>
      <c r="R72" t="s">
        <v>299</v>
      </c>
      <c r="S72" s="4">
        <f t="shared" si="8"/>
        <v>40.204583087558802</v>
      </c>
      <c r="T72" t="s">
        <v>300</v>
      </c>
      <c r="U72" s="4">
        <f t="shared" si="9"/>
        <v>16.601381044965201</v>
      </c>
      <c r="V72" t="s">
        <v>301</v>
      </c>
      <c r="W72" t="s">
        <v>302</v>
      </c>
      <c r="X72" t="s">
        <v>303</v>
      </c>
      <c r="Y72" t="s">
        <v>304</v>
      </c>
    </row>
    <row r="73" spans="1:25" x14ac:dyDescent="0.25">
      <c r="A73" t="s">
        <v>72</v>
      </c>
      <c r="B73">
        <v>39.934071655301501</v>
      </c>
      <c r="C73">
        <v>16.534110924334801</v>
      </c>
      <c r="D73" s="2" t="s">
        <v>216</v>
      </c>
      <c r="F73" s="5" t="str">
        <f t="shared" si="5"/>
        <v>New "Load.M2_m2_trf_5286891a" bus1="82056385286891.1.2.3.4" phases=3 conn=Wye model=3 kv=0.380 kw=39,9340716553015 kvar=16,5341109243348 daily="RES-Tipo3_DU" status=variable vmaxpu=1.5 vminpu=0.92</v>
      </c>
      <c r="G73" t="s">
        <v>290</v>
      </c>
      <c r="H73" t="s">
        <v>291</v>
      </c>
      <c r="I73" s="4" t="str">
        <f t="shared" si="6"/>
        <v>m2_trf_5286891a</v>
      </c>
      <c r="J73" t="s">
        <v>292</v>
      </c>
      <c r="K73" t="s">
        <v>293</v>
      </c>
      <c r="L73" t="str">
        <f t="shared" si="7"/>
        <v>82056385286891</v>
      </c>
      <c r="M73" t="s">
        <v>294</v>
      </c>
      <c r="N73" t="s">
        <v>295</v>
      </c>
      <c r="O73" t="s">
        <v>296</v>
      </c>
      <c r="P73" t="s">
        <v>297</v>
      </c>
      <c r="Q73" t="s">
        <v>298</v>
      </c>
      <c r="R73" t="s">
        <v>299</v>
      </c>
      <c r="S73" s="4">
        <f t="shared" si="8"/>
        <v>39.934071655301501</v>
      </c>
      <c r="T73" t="s">
        <v>300</v>
      </c>
      <c r="U73" s="4">
        <f t="shared" si="9"/>
        <v>16.534110924334801</v>
      </c>
      <c r="V73" t="s">
        <v>301</v>
      </c>
      <c r="W73" t="s">
        <v>302</v>
      </c>
      <c r="X73" t="s">
        <v>303</v>
      </c>
      <c r="Y73" t="s">
        <v>304</v>
      </c>
    </row>
    <row r="74" spans="1:25" x14ac:dyDescent="0.25">
      <c r="A74" t="s">
        <v>73</v>
      </c>
      <c r="B74">
        <v>44.493868049112102</v>
      </c>
      <c r="C74">
        <v>18.313352973910799</v>
      </c>
      <c r="D74" s="2" t="s">
        <v>217</v>
      </c>
      <c r="F74" s="5" t="str">
        <f t="shared" si="5"/>
        <v>New "Load.M2_m2_trf_5286914a" bus1="82053635286914.1.2.3.4" phases=3 conn=Wye model=3 kv=0.380 kw=44,4938680491121 kvar=18,3133529739108 daily="RES-Tipo3_DU" status=variable vmaxpu=1.5 vminpu=0.92</v>
      </c>
      <c r="G74" t="s">
        <v>290</v>
      </c>
      <c r="H74" t="s">
        <v>291</v>
      </c>
      <c r="I74" s="4" t="str">
        <f t="shared" si="6"/>
        <v>m2_trf_5286914a</v>
      </c>
      <c r="J74" t="s">
        <v>292</v>
      </c>
      <c r="K74" t="s">
        <v>293</v>
      </c>
      <c r="L74" t="str">
        <f t="shared" si="7"/>
        <v>82053635286914</v>
      </c>
      <c r="M74" t="s">
        <v>294</v>
      </c>
      <c r="N74" t="s">
        <v>295</v>
      </c>
      <c r="O74" t="s">
        <v>296</v>
      </c>
      <c r="P74" t="s">
        <v>297</v>
      </c>
      <c r="Q74" t="s">
        <v>298</v>
      </c>
      <c r="R74" t="s">
        <v>299</v>
      </c>
      <c r="S74" s="4">
        <f t="shared" si="8"/>
        <v>44.493868049112102</v>
      </c>
      <c r="T74" t="s">
        <v>300</v>
      </c>
      <c r="U74" s="4">
        <f t="shared" si="9"/>
        <v>18.313352973910799</v>
      </c>
      <c r="V74" t="s">
        <v>301</v>
      </c>
      <c r="W74" t="s">
        <v>302</v>
      </c>
      <c r="X74" t="s">
        <v>303</v>
      </c>
      <c r="Y74" t="s">
        <v>304</v>
      </c>
    </row>
    <row r="75" spans="1:25" x14ac:dyDescent="0.25">
      <c r="A75" t="s">
        <v>74</v>
      </c>
      <c r="B75">
        <v>37.000168655302197</v>
      </c>
      <c r="C75">
        <v>15.1442451255588</v>
      </c>
      <c r="D75" s="2" t="s">
        <v>218</v>
      </c>
      <c r="F75" s="5" t="str">
        <f t="shared" si="5"/>
        <v>New "Load.M2_m2_trf_5286915a" bus1="82054535286915.1.2.3.4" phases=3 conn=Wye model=3 kv=0.380 kw=37,0001686553022 kvar=15,1442451255588 daily="RES-Tipo3_DU" status=variable vmaxpu=1.5 vminpu=0.92</v>
      </c>
      <c r="G75" t="s">
        <v>290</v>
      </c>
      <c r="H75" t="s">
        <v>291</v>
      </c>
      <c r="I75" s="4" t="str">
        <f t="shared" si="6"/>
        <v>m2_trf_5286915a</v>
      </c>
      <c r="J75" t="s">
        <v>292</v>
      </c>
      <c r="K75" t="s">
        <v>293</v>
      </c>
      <c r="L75" t="str">
        <f t="shared" si="7"/>
        <v>82054535286915</v>
      </c>
      <c r="M75" t="s">
        <v>294</v>
      </c>
      <c r="N75" t="s">
        <v>295</v>
      </c>
      <c r="O75" t="s">
        <v>296</v>
      </c>
      <c r="P75" t="s">
        <v>297</v>
      </c>
      <c r="Q75" t="s">
        <v>298</v>
      </c>
      <c r="R75" t="s">
        <v>299</v>
      </c>
      <c r="S75" s="4">
        <f t="shared" si="8"/>
        <v>37.000168655302197</v>
      </c>
      <c r="T75" t="s">
        <v>300</v>
      </c>
      <c r="U75" s="4">
        <f t="shared" si="9"/>
        <v>15.1442451255588</v>
      </c>
      <c r="V75" t="s">
        <v>301</v>
      </c>
      <c r="W75" t="s">
        <v>302</v>
      </c>
      <c r="X75" t="s">
        <v>303</v>
      </c>
      <c r="Y75" t="s">
        <v>304</v>
      </c>
    </row>
    <row r="76" spans="1:25" x14ac:dyDescent="0.25">
      <c r="A76" t="s">
        <v>75</v>
      </c>
      <c r="B76">
        <v>47.9118232887989</v>
      </c>
      <c r="C76">
        <v>19.619105310455701</v>
      </c>
      <c r="D76" s="2" t="s">
        <v>219</v>
      </c>
      <c r="F76" s="5" t="str">
        <f t="shared" si="5"/>
        <v>New "Load.M2_m2_trf_5286916a" bus1="82054235286916.1.2.3.4" phases=3 conn=Wye model=3 kv=0.380 kw=47,9118232887989 kvar=19,6191053104557 daily="RES-Tipo3_DU" status=variable vmaxpu=1.5 vminpu=0.92</v>
      </c>
      <c r="G76" t="s">
        <v>290</v>
      </c>
      <c r="H76" t="s">
        <v>291</v>
      </c>
      <c r="I76" s="4" t="str">
        <f t="shared" si="6"/>
        <v>m2_trf_5286916a</v>
      </c>
      <c r="J76" t="s">
        <v>292</v>
      </c>
      <c r="K76" t="s">
        <v>293</v>
      </c>
      <c r="L76" t="str">
        <f t="shared" si="7"/>
        <v>82054235286916</v>
      </c>
      <c r="M76" t="s">
        <v>294</v>
      </c>
      <c r="N76" t="s">
        <v>295</v>
      </c>
      <c r="O76" t="s">
        <v>296</v>
      </c>
      <c r="P76" t="s">
        <v>297</v>
      </c>
      <c r="Q76" t="s">
        <v>298</v>
      </c>
      <c r="R76" t="s">
        <v>299</v>
      </c>
      <c r="S76" s="4">
        <f t="shared" si="8"/>
        <v>47.9118232887989</v>
      </c>
      <c r="T76" t="s">
        <v>300</v>
      </c>
      <c r="U76" s="4">
        <f t="shared" si="9"/>
        <v>19.619105310455701</v>
      </c>
      <c r="V76" t="s">
        <v>301</v>
      </c>
      <c r="W76" t="s">
        <v>302</v>
      </c>
      <c r="X76" t="s">
        <v>303</v>
      </c>
      <c r="Y76" t="s">
        <v>304</v>
      </c>
    </row>
    <row r="77" spans="1:25" x14ac:dyDescent="0.25">
      <c r="A77" t="s">
        <v>76</v>
      </c>
      <c r="B77">
        <v>71.278417559472203</v>
      </c>
      <c r="C77">
        <v>29.356257798052201</v>
      </c>
      <c r="D77" s="2" t="s">
        <v>220</v>
      </c>
      <c r="F77" s="5" t="str">
        <f t="shared" si="5"/>
        <v>New "Load.M2_m2_trf_5286917a" bus1="82054305286917.1.2.3.4" phases=3 conn=Wye model=3 kv=0.380 kw=71,2784175594722 kvar=29,3562577980522 daily="RES-Tipo3_DU" status=variable vmaxpu=1.5 vminpu=0.92</v>
      </c>
      <c r="G77" t="s">
        <v>290</v>
      </c>
      <c r="H77" t="s">
        <v>291</v>
      </c>
      <c r="I77" s="4" t="str">
        <f t="shared" si="6"/>
        <v>m2_trf_5286917a</v>
      </c>
      <c r="J77" t="s">
        <v>292</v>
      </c>
      <c r="K77" t="s">
        <v>293</v>
      </c>
      <c r="L77" t="str">
        <f t="shared" si="7"/>
        <v>82054305286917</v>
      </c>
      <c r="M77" t="s">
        <v>294</v>
      </c>
      <c r="N77" t="s">
        <v>295</v>
      </c>
      <c r="O77" t="s">
        <v>296</v>
      </c>
      <c r="P77" t="s">
        <v>297</v>
      </c>
      <c r="Q77" t="s">
        <v>298</v>
      </c>
      <c r="R77" t="s">
        <v>299</v>
      </c>
      <c r="S77" s="4">
        <f t="shared" si="8"/>
        <v>71.278417559472203</v>
      </c>
      <c r="T77" t="s">
        <v>300</v>
      </c>
      <c r="U77" s="4">
        <f t="shared" si="9"/>
        <v>29.356257798052201</v>
      </c>
      <c r="V77" t="s">
        <v>301</v>
      </c>
      <c r="W77" t="s">
        <v>302</v>
      </c>
      <c r="X77" t="s">
        <v>303</v>
      </c>
      <c r="Y77" t="s">
        <v>304</v>
      </c>
    </row>
    <row r="78" spans="1:25" x14ac:dyDescent="0.25">
      <c r="A78" t="s">
        <v>77</v>
      </c>
      <c r="B78">
        <v>60.9730084198819</v>
      </c>
      <c r="C78">
        <v>25.1549769540668</v>
      </c>
      <c r="D78" s="2" t="s">
        <v>221</v>
      </c>
      <c r="F78" s="5" t="str">
        <f t="shared" si="5"/>
        <v>New "Load.M2_m2_trf_5286918a" bus1="82053975286918.1.2.3.4" phases=3 conn=Wye model=3 kv=0.380 kw=60,9730084198819 kvar=25,1549769540668 daily="RES-Tipo3_DU" status=variable vmaxpu=1.5 vminpu=0.92</v>
      </c>
      <c r="G78" t="s">
        <v>290</v>
      </c>
      <c r="H78" t="s">
        <v>291</v>
      </c>
      <c r="I78" s="4" t="str">
        <f t="shared" si="6"/>
        <v>m2_trf_5286918a</v>
      </c>
      <c r="J78" t="s">
        <v>292</v>
      </c>
      <c r="K78" t="s">
        <v>293</v>
      </c>
      <c r="L78" t="str">
        <f t="shared" si="7"/>
        <v>82053975286918</v>
      </c>
      <c r="M78" t="s">
        <v>294</v>
      </c>
      <c r="N78" t="s">
        <v>295</v>
      </c>
      <c r="O78" t="s">
        <v>296</v>
      </c>
      <c r="P78" t="s">
        <v>297</v>
      </c>
      <c r="Q78" t="s">
        <v>298</v>
      </c>
      <c r="R78" t="s">
        <v>299</v>
      </c>
      <c r="S78" s="4">
        <f t="shared" si="8"/>
        <v>60.9730084198819</v>
      </c>
      <c r="T78" t="s">
        <v>300</v>
      </c>
      <c r="U78" s="4">
        <f t="shared" si="9"/>
        <v>25.1549769540668</v>
      </c>
      <c r="V78" t="s">
        <v>301</v>
      </c>
      <c r="W78" t="s">
        <v>302</v>
      </c>
      <c r="X78" t="s">
        <v>303</v>
      </c>
      <c r="Y78" t="s">
        <v>304</v>
      </c>
    </row>
    <row r="79" spans="1:25" x14ac:dyDescent="0.25">
      <c r="A79" t="s">
        <v>78</v>
      </c>
      <c r="B79">
        <v>32.662093480150297</v>
      </c>
      <c r="C79">
        <v>13.4705149937224</v>
      </c>
      <c r="D79" s="2" t="s">
        <v>222</v>
      </c>
      <c r="F79" s="5" t="str">
        <f t="shared" si="5"/>
        <v>New "Load.M2_m2_trf_5286919a" bus1="82060535286919.1.2.3.4" phases=3 conn=Wye model=3 kv=0.380 kw=32,6620934801503 kvar=13,4705149937224 daily="RES-Tipo3_DU" status=variable vmaxpu=1.5 vminpu=0.92</v>
      </c>
      <c r="G79" t="s">
        <v>290</v>
      </c>
      <c r="H79" t="s">
        <v>291</v>
      </c>
      <c r="I79" s="4" t="str">
        <f t="shared" si="6"/>
        <v>m2_trf_5286919a</v>
      </c>
      <c r="J79" t="s">
        <v>292</v>
      </c>
      <c r="K79" t="s">
        <v>293</v>
      </c>
      <c r="L79" t="str">
        <f t="shared" si="7"/>
        <v>82060535286919</v>
      </c>
      <c r="M79" t="s">
        <v>294</v>
      </c>
      <c r="N79" t="s">
        <v>295</v>
      </c>
      <c r="O79" t="s">
        <v>296</v>
      </c>
      <c r="P79" t="s">
        <v>297</v>
      </c>
      <c r="Q79" t="s">
        <v>298</v>
      </c>
      <c r="R79" t="s">
        <v>299</v>
      </c>
      <c r="S79" s="4">
        <f t="shared" si="8"/>
        <v>32.662093480150297</v>
      </c>
      <c r="T79" t="s">
        <v>300</v>
      </c>
      <c r="U79" s="4">
        <f t="shared" si="9"/>
        <v>13.4705149937224</v>
      </c>
      <c r="V79" t="s">
        <v>301</v>
      </c>
      <c r="W79" t="s">
        <v>302</v>
      </c>
      <c r="X79" t="s">
        <v>303</v>
      </c>
      <c r="Y79" t="s">
        <v>304</v>
      </c>
    </row>
    <row r="80" spans="1:25" x14ac:dyDescent="0.25">
      <c r="A80" t="s">
        <v>79</v>
      </c>
      <c r="B80">
        <v>36.395359228653</v>
      </c>
      <c r="C80">
        <v>14.9729973303959</v>
      </c>
      <c r="D80" s="2" t="s">
        <v>223</v>
      </c>
      <c r="F80" s="5" t="str">
        <f t="shared" si="5"/>
        <v>New "Load.M2_m2_trf_5286930a" bus1="82049375286930.1.2.3.4" phases=3 conn=Wye model=3 kv=0.380 kw=36,395359228653 kvar=14,9729973303959 daily="RES-Tipo3_DU" status=variable vmaxpu=1.5 vminpu=0.92</v>
      </c>
      <c r="G80" t="s">
        <v>290</v>
      </c>
      <c r="H80" t="s">
        <v>291</v>
      </c>
      <c r="I80" s="4" t="str">
        <f t="shared" si="6"/>
        <v>m2_trf_5286930a</v>
      </c>
      <c r="J80" t="s">
        <v>292</v>
      </c>
      <c r="K80" t="s">
        <v>293</v>
      </c>
      <c r="L80" t="str">
        <f t="shared" si="7"/>
        <v>82049375286930</v>
      </c>
      <c r="M80" t="s">
        <v>294</v>
      </c>
      <c r="N80" t="s">
        <v>295</v>
      </c>
      <c r="O80" t="s">
        <v>296</v>
      </c>
      <c r="P80" t="s">
        <v>297</v>
      </c>
      <c r="Q80" t="s">
        <v>298</v>
      </c>
      <c r="R80" t="s">
        <v>299</v>
      </c>
      <c r="S80" s="4">
        <f t="shared" si="8"/>
        <v>36.395359228653</v>
      </c>
      <c r="T80" t="s">
        <v>300</v>
      </c>
      <c r="U80" s="4">
        <f t="shared" si="9"/>
        <v>14.9729973303959</v>
      </c>
      <c r="V80" t="s">
        <v>301</v>
      </c>
      <c r="W80" t="s">
        <v>302</v>
      </c>
      <c r="X80" t="s">
        <v>303</v>
      </c>
      <c r="Y80" t="s">
        <v>304</v>
      </c>
    </row>
    <row r="81" spans="1:25" x14ac:dyDescent="0.25">
      <c r="A81" t="s">
        <v>80</v>
      </c>
      <c r="B81">
        <v>71.952332566571997</v>
      </c>
      <c r="C81">
        <v>29.3201183089738</v>
      </c>
      <c r="D81" s="2" t="s">
        <v>224</v>
      </c>
      <c r="F81" s="5" t="str">
        <f t="shared" si="5"/>
        <v>New "Load.M2_m2_trf_5286931a" bus1="82049545286931.1.2.3.4" phases=3 conn=Wye model=3 kv=0.380 kw=71,952332566572 kvar=29,3201183089738 daily="RES-Tipo3_DU" status=variable vmaxpu=1.5 vminpu=0.92</v>
      </c>
      <c r="G81" t="s">
        <v>290</v>
      </c>
      <c r="H81" t="s">
        <v>291</v>
      </c>
      <c r="I81" s="4" t="str">
        <f t="shared" si="6"/>
        <v>m2_trf_5286931a</v>
      </c>
      <c r="J81" t="s">
        <v>292</v>
      </c>
      <c r="K81" t="s">
        <v>293</v>
      </c>
      <c r="L81" t="str">
        <f t="shared" si="7"/>
        <v>82049545286931</v>
      </c>
      <c r="M81" t="s">
        <v>294</v>
      </c>
      <c r="N81" t="s">
        <v>295</v>
      </c>
      <c r="O81" t="s">
        <v>296</v>
      </c>
      <c r="P81" t="s">
        <v>297</v>
      </c>
      <c r="Q81" t="s">
        <v>298</v>
      </c>
      <c r="R81" t="s">
        <v>299</v>
      </c>
      <c r="S81" s="4">
        <f t="shared" si="8"/>
        <v>71.952332566571997</v>
      </c>
      <c r="T81" t="s">
        <v>300</v>
      </c>
      <c r="U81" s="4">
        <f t="shared" si="9"/>
        <v>29.3201183089738</v>
      </c>
      <c r="V81" t="s">
        <v>301</v>
      </c>
      <c r="W81" t="s">
        <v>302</v>
      </c>
      <c r="X81" t="s">
        <v>303</v>
      </c>
      <c r="Y81" t="s">
        <v>304</v>
      </c>
    </row>
    <row r="82" spans="1:25" x14ac:dyDescent="0.25">
      <c r="A82" t="s">
        <v>81</v>
      </c>
      <c r="B82">
        <v>21.400451759130199</v>
      </c>
      <c r="C82">
        <v>8.8914089372518408</v>
      </c>
      <c r="D82" s="2" t="s">
        <v>225</v>
      </c>
      <c r="F82" s="5" t="str">
        <f t="shared" si="5"/>
        <v>New "Load.M2_m2_trf_5286932a" bus1="82049765286932.1.2.3.4" phases=3 conn=Wye model=3 kv=0.380 kw=21,4004517591302 kvar=8,89140893725184 daily="RES-Tipo3_DU" status=variable vmaxpu=1.5 vminpu=0.92</v>
      </c>
      <c r="G82" t="s">
        <v>290</v>
      </c>
      <c r="H82" t="s">
        <v>291</v>
      </c>
      <c r="I82" s="4" t="str">
        <f t="shared" si="6"/>
        <v>m2_trf_5286932a</v>
      </c>
      <c r="J82" t="s">
        <v>292</v>
      </c>
      <c r="K82" t="s">
        <v>293</v>
      </c>
      <c r="L82" t="str">
        <f t="shared" si="7"/>
        <v>82049765286932</v>
      </c>
      <c r="M82" t="s">
        <v>294</v>
      </c>
      <c r="N82" t="s">
        <v>295</v>
      </c>
      <c r="O82" t="s">
        <v>296</v>
      </c>
      <c r="P82" t="s">
        <v>297</v>
      </c>
      <c r="Q82" t="s">
        <v>298</v>
      </c>
      <c r="R82" t="s">
        <v>299</v>
      </c>
      <c r="S82" s="4">
        <f t="shared" si="8"/>
        <v>21.400451759130199</v>
      </c>
      <c r="T82" t="s">
        <v>300</v>
      </c>
      <c r="U82" s="4">
        <f t="shared" si="9"/>
        <v>8.8914089372518408</v>
      </c>
      <c r="V82" t="s">
        <v>301</v>
      </c>
      <c r="W82" t="s">
        <v>302</v>
      </c>
      <c r="X82" t="s">
        <v>303</v>
      </c>
      <c r="Y82" t="s">
        <v>304</v>
      </c>
    </row>
    <row r="83" spans="1:25" x14ac:dyDescent="0.25">
      <c r="A83" t="s">
        <v>82</v>
      </c>
      <c r="B83">
        <v>48.469236625592998</v>
      </c>
      <c r="C83">
        <v>19.9648490253905</v>
      </c>
      <c r="D83" s="2" t="s">
        <v>226</v>
      </c>
      <c r="F83" s="5" t="str">
        <f t="shared" si="5"/>
        <v>New "Load.M2_m2_trf_5286933a" bus1="82049805286933.1.2.3.4" phases=3 conn=Wye model=3 kv=0.380 kw=48,469236625593 kvar=19,9648490253905 daily="RES-Tipo3_DU" status=variable vmaxpu=1.5 vminpu=0.92</v>
      </c>
      <c r="G83" t="s">
        <v>290</v>
      </c>
      <c r="H83" t="s">
        <v>291</v>
      </c>
      <c r="I83" s="4" t="str">
        <f t="shared" si="6"/>
        <v>m2_trf_5286933a</v>
      </c>
      <c r="J83" t="s">
        <v>292</v>
      </c>
      <c r="K83" t="s">
        <v>293</v>
      </c>
      <c r="L83" t="str">
        <f t="shared" si="7"/>
        <v>82049805286933</v>
      </c>
      <c r="M83" t="s">
        <v>294</v>
      </c>
      <c r="N83" t="s">
        <v>295</v>
      </c>
      <c r="O83" t="s">
        <v>296</v>
      </c>
      <c r="P83" t="s">
        <v>297</v>
      </c>
      <c r="Q83" t="s">
        <v>298</v>
      </c>
      <c r="R83" t="s">
        <v>299</v>
      </c>
      <c r="S83" s="4">
        <f t="shared" si="8"/>
        <v>48.469236625592998</v>
      </c>
      <c r="T83" t="s">
        <v>300</v>
      </c>
      <c r="U83" s="4">
        <f t="shared" si="9"/>
        <v>19.9648490253905</v>
      </c>
      <c r="V83" t="s">
        <v>301</v>
      </c>
      <c r="W83" t="s">
        <v>302</v>
      </c>
      <c r="X83" t="s">
        <v>303</v>
      </c>
      <c r="Y83" t="s">
        <v>304</v>
      </c>
    </row>
    <row r="84" spans="1:25" x14ac:dyDescent="0.25">
      <c r="A84" t="s">
        <v>83</v>
      </c>
      <c r="B84">
        <v>75.839947102103295</v>
      </c>
      <c r="C84">
        <v>31.574840413989101</v>
      </c>
      <c r="D84" s="2" t="s">
        <v>227</v>
      </c>
      <c r="F84" s="5" t="str">
        <f t="shared" si="5"/>
        <v>New "Load.M2_m2_trf_5286934a" bus1="82049885286934.1.2.3.4" phases=3 conn=Wye model=3 kv=0.380 kw=75,8399471021033 kvar=31,5748404139891 daily="RES-Tipo3_DU" status=variable vmaxpu=1.5 vminpu=0.92</v>
      </c>
      <c r="G84" t="s">
        <v>290</v>
      </c>
      <c r="H84" t="s">
        <v>291</v>
      </c>
      <c r="I84" s="4" t="str">
        <f t="shared" si="6"/>
        <v>m2_trf_5286934a</v>
      </c>
      <c r="J84" t="s">
        <v>292</v>
      </c>
      <c r="K84" t="s">
        <v>293</v>
      </c>
      <c r="L84" t="str">
        <f t="shared" si="7"/>
        <v>82049885286934</v>
      </c>
      <c r="M84" t="s">
        <v>294</v>
      </c>
      <c r="N84" t="s">
        <v>295</v>
      </c>
      <c r="O84" t="s">
        <v>296</v>
      </c>
      <c r="P84" t="s">
        <v>297</v>
      </c>
      <c r="Q84" t="s">
        <v>298</v>
      </c>
      <c r="R84" t="s">
        <v>299</v>
      </c>
      <c r="S84" s="4">
        <f t="shared" si="8"/>
        <v>75.839947102103295</v>
      </c>
      <c r="T84" t="s">
        <v>300</v>
      </c>
      <c r="U84" s="4">
        <f t="shared" si="9"/>
        <v>31.574840413989101</v>
      </c>
      <c r="V84" t="s">
        <v>301</v>
      </c>
      <c r="W84" t="s">
        <v>302</v>
      </c>
      <c r="X84" t="s">
        <v>303</v>
      </c>
      <c r="Y84" t="s">
        <v>304</v>
      </c>
    </row>
    <row r="85" spans="1:25" x14ac:dyDescent="0.25">
      <c r="A85" t="s">
        <v>84</v>
      </c>
      <c r="B85">
        <v>14.775743181766099</v>
      </c>
      <c r="C85">
        <v>6.0659760844896899</v>
      </c>
      <c r="D85" s="2" t="s">
        <v>228</v>
      </c>
      <c r="F85" s="5" t="str">
        <f t="shared" si="5"/>
        <v>New "Load.M2_m2_trf_5286935a" bus1="82050325286935.1.2.3.4" phases=3 conn=Wye model=3 kv=0.380 kw=14,7757431817661 kvar=6,06597608448969 daily="RES-Tipo3_DU" status=variable vmaxpu=1.5 vminpu=0.92</v>
      </c>
      <c r="G85" t="s">
        <v>290</v>
      </c>
      <c r="H85" t="s">
        <v>291</v>
      </c>
      <c r="I85" s="4" t="str">
        <f t="shared" si="6"/>
        <v>m2_trf_5286935a</v>
      </c>
      <c r="J85" t="s">
        <v>292</v>
      </c>
      <c r="K85" t="s">
        <v>293</v>
      </c>
      <c r="L85" t="str">
        <f t="shared" si="7"/>
        <v>82050325286935</v>
      </c>
      <c r="M85" t="s">
        <v>294</v>
      </c>
      <c r="N85" t="s">
        <v>295</v>
      </c>
      <c r="O85" t="s">
        <v>296</v>
      </c>
      <c r="P85" t="s">
        <v>297</v>
      </c>
      <c r="Q85" t="s">
        <v>298</v>
      </c>
      <c r="R85" t="s">
        <v>299</v>
      </c>
      <c r="S85" s="4">
        <f t="shared" si="8"/>
        <v>14.775743181766099</v>
      </c>
      <c r="T85" t="s">
        <v>300</v>
      </c>
      <c r="U85" s="4">
        <f t="shared" si="9"/>
        <v>6.0659760844896899</v>
      </c>
      <c r="V85" t="s">
        <v>301</v>
      </c>
      <c r="W85" t="s">
        <v>302</v>
      </c>
      <c r="X85" t="s">
        <v>303</v>
      </c>
      <c r="Y85" t="s">
        <v>304</v>
      </c>
    </row>
    <row r="86" spans="1:25" x14ac:dyDescent="0.25">
      <c r="A86" t="s">
        <v>85</v>
      </c>
      <c r="B86">
        <v>34.0576068084222</v>
      </c>
      <c r="C86">
        <v>13.840328692664499</v>
      </c>
      <c r="D86" s="2" t="s">
        <v>229</v>
      </c>
      <c r="F86" s="5" t="str">
        <f t="shared" si="5"/>
        <v>New "Load.M2_m2_trf_5286936a" bus1="82049975286936.1.2.3.4" phases=3 conn=Wye model=3 kv=0.380 kw=34,0576068084222 kvar=13,8403286926645 daily="RES-Tipo3_DU" status=variable vmaxpu=1.5 vminpu=0.92</v>
      </c>
      <c r="G86" t="s">
        <v>290</v>
      </c>
      <c r="H86" t="s">
        <v>291</v>
      </c>
      <c r="I86" s="4" t="str">
        <f t="shared" si="6"/>
        <v>m2_trf_5286936a</v>
      </c>
      <c r="J86" t="s">
        <v>292</v>
      </c>
      <c r="K86" t="s">
        <v>293</v>
      </c>
      <c r="L86" t="str">
        <f t="shared" si="7"/>
        <v>82049975286936</v>
      </c>
      <c r="M86" t="s">
        <v>294</v>
      </c>
      <c r="N86" t="s">
        <v>295</v>
      </c>
      <c r="O86" t="s">
        <v>296</v>
      </c>
      <c r="P86" t="s">
        <v>297</v>
      </c>
      <c r="Q86" t="s">
        <v>298</v>
      </c>
      <c r="R86" t="s">
        <v>299</v>
      </c>
      <c r="S86" s="4">
        <f t="shared" si="8"/>
        <v>34.0576068084222</v>
      </c>
      <c r="T86" t="s">
        <v>300</v>
      </c>
      <c r="U86" s="4">
        <f t="shared" si="9"/>
        <v>13.840328692664499</v>
      </c>
      <c r="V86" t="s">
        <v>301</v>
      </c>
      <c r="W86" t="s">
        <v>302</v>
      </c>
      <c r="X86" t="s">
        <v>303</v>
      </c>
      <c r="Y86" t="s">
        <v>304</v>
      </c>
    </row>
    <row r="87" spans="1:25" x14ac:dyDescent="0.25">
      <c r="A87" t="s">
        <v>86</v>
      </c>
      <c r="B87">
        <v>12.363823051166101</v>
      </c>
      <c r="C87">
        <v>5.0730300780745603</v>
      </c>
      <c r="D87" s="2" t="s">
        <v>230</v>
      </c>
      <c r="F87" s="5" t="str">
        <f t="shared" si="5"/>
        <v>New "Load.M2_m2_trf_5286937a" bus1="82050035286937.1.2.3.4" phases=3 conn=Wye model=3 kv=0.380 kw=12,3638230511661 kvar=5,07303007807456 daily="RES-Tipo3_DU" status=variable vmaxpu=1.5 vminpu=0.92</v>
      </c>
      <c r="G87" t="s">
        <v>290</v>
      </c>
      <c r="H87" t="s">
        <v>291</v>
      </c>
      <c r="I87" s="4" t="str">
        <f t="shared" si="6"/>
        <v>m2_trf_5286937a</v>
      </c>
      <c r="J87" t="s">
        <v>292</v>
      </c>
      <c r="K87" t="s">
        <v>293</v>
      </c>
      <c r="L87" t="str">
        <f t="shared" si="7"/>
        <v>82050035286937</v>
      </c>
      <c r="M87" t="s">
        <v>294</v>
      </c>
      <c r="N87" t="s">
        <v>295</v>
      </c>
      <c r="O87" t="s">
        <v>296</v>
      </c>
      <c r="P87" t="s">
        <v>297</v>
      </c>
      <c r="Q87" t="s">
        <v>298</v>
      </c>
      <c r="R87" t="s">
        <v>299</v>
      </c>
      <c r="S87" s="4">
        <f t="shared" si="8"/>
        <v>12.363823051166101</v>
      </c>
      <c r="T87" t="s">
        <v>300</v>
      </c>
      <c r="U87" s="4">
        <f t="shared" si="9"/>
        <v>5.0730300780745603</v>
      </c>
      <c r="V87" t="s">
        <v>301</v>
      </c>
      <c r="W87" t="s">
        <v>302</v>
      </c>
      <c r="X87" t="s">
        <v>303</v>
      </c>
      <c r="Y87" t="s">
        <v>304</v>
      </c>
    </row>
    <row r="88" spans="1:25" x14ac:dyDescent="0.25">
      <c r="A88" t="s">
        <v>87</v>
      </c>
      <c r="B88">
        <v>44.015144588186203</v>
      </c>
      <c r="C88">
        <v>18.169787691649098</v>
      </c>
      <c r="D88" s="2" t="s">
        <v>231</v>
      </c>
      <c r="F88" s="5" t="str">
        <f t="shared" si="5"/>
        <v>New "Load.M2_m2_trf_5286938a" bus1="82050465286938.1.2.3.4" phases=3 conn=Wye model=3 kv=0.380 kw=44,0151445881862 kvar=18,1697876916491 daily="RES-Tipo3_DU" status=variable vmaxpu=1.5 vminpu=0.92</v>
      </c>
      <c r="G88" t="s">
        <v>290</v>
      </c>
      <c r="H88" t="s">
        <v>291</v>
      </c>
      <c r="I88" s="4" t="str">
        <f t="shared" si="6"/>
        <v>m2_trf_5286938a</v>
      </c>
      <c r="J88" t="s">
        <v>292</v>
      </c>
      <c r="K88" t="s">
        <v>293</v>
      </c>
      <c r="L88" t="str">
        <f t="shared" si="7"/>
        <v>82050465286938</v>
      </c>
      <c r="M88" t="s">
        <v>294</v>
      </c>
      <c r="N88" t="s">
        <v>295</v>
      </c>
      <c r="O88" t="s">
        <v>296</v>
      </c>
      <c r="P88" t="s">
        <v>297</v>
      </c>
      <c r="Q88" t="s">
        <v>298</v>
      </c>
      <c r="R88" t="s">
        <v>299</v>
      </c>
      <c r="S88" s="4">
        <f t="shared" si="8"/>
        <v>44.015144588186203</v>
      </c>
      <c r="T88" t="s">
        <v>300</v>
      </c>
      <c r="U88" s="4">
        <f t="shared" si="9"/>
        <v>18.169787691649098</v>
      </c>
      <c r="V88" t="s">
        <v>301</v>
      </c>
      <c r="W88" t="s">
        <v>302</v>
      </c>
      <c r="X88" t="s">
        <v>303</v>
      </c>
      <c r="Y88" t="s">
        <v>304</v>
      </c>
    </row>
    <row r="89" spans="1:25" x14ac:dyDescent="0.25">
      <c r="A89" t="s">
        <v>88</v>
      </c>
      <c r="B89">
        <v>25.0046199195118</v>
      </c>
      <c r="C89">
        <v>10.2676681648854</v>
      </c>
      <c r="D89" s="2" t="s">
        <v>232</v>
      </c>
      <c r="F89" s="5" t="str">
        <f t="shared" si="5"/>
        <v>New "Load.M2_m2_trf_5286939a" bus1="82039815286939.1.2.3.4" phases=3 conn=Wye model=3 kv=0.380 kw=25,0046199195118 kvar=10,2676681648854 daily="RES-Tipo3_DU" status=variable vmaxpu=1.5 vminpu=0.92</v>
      </c>
      <c r="G89" t="s">
        <v>290</v>
      </c>
      <c r="H89" t="s">
        <v>291</v>
      </c>
      <c r="I89" s="4" t="str">
        <f t="shared" si="6"/>
        <v>m2_trf_5286939a</v>
      </c>
      <c r="J89" t="s">
        <v>292</v>
      </c>
      <c r="K89" t="s">
        <v>293</v>
      </c>
      <c r="L89" t="str">
        <f t="shared" si="7"/>
        <v>82039815286939</v>
      </c>
      <c r="M89" t="s">
        <v>294</v>
      </c>
      <c r="N89" t="s">
        <v>295</v>
      </c>
      <c r="O89" t="s">
        <v>296</v>
      </c>
      <c r="P89" t="s">
        <v>297</v>
      </c>
      <c r="Q89" t="s">
        <v>298</v>
      </c>
      <c r="R89" t="s">
        <v>299</v>
      </c>
      <c r="S89" s="4">
        <f t="shared" si="8"/>
        <v>25.0046199195118</v>
      </c>
      <c r="T89" t="s">
        <v>300</v>
      </c>
      <c r="U89" s="4">
        <f t="shared" si="9"/>
        <v>10.2676681648854</v>
      </c>
      <c r="V89" t="s">
        <v>301</v>
      </c>
      <c r="W89" t="s">
        <v>302</v>
      </c>
      <c r="X89" t="s">
        <v>303</v>
      </c>
      <c r="Y89" t="s">
        <v>304</v>
      </c>
    </row>
    <row r="90" spans="1:25" x14ac:dyDescent="0.25">
      <c r="A90" t="s">
        <v>89</v>
      </c>
      <c r="B90">
        <v>31.717936349780999</v>
      </c>
      <c r="C90">
        <v>12.9577255819414</v>
      </c>
      <c r="D90" s="2" t="s">
        <v>233</v>
      </c>
      <c r="F90" s="5" t="str">
        <f t="shared" si="5"/>
        <v>New "Load.M2_m2_trf_5286940a" bus1="82039945286940.1.2.3.4" phases=3 conn=Wye model=3 kv=0.380 kw=31,717936349781 kvar=12,9577255819414 daily="RES-Tipo3_DU" status=variable vmaxpu=1.5 vminpu=0.92</v>
      </c>
      <c r="G90" t="s">
        <v>290</v>
      </c>
      <c r="H90" t="s">
        <v>291</v>
      </c>
      <c r="I90" s="4" t="str">
        <f t="shared" si="6"/>
        <v>m2_trf_5286940a</v>
      </c>
      <c r="J90" t="s">
        <v>292</v>
      </c>
      <c r="K90" t="s">
        <v>293</v>
      </c>
      <c r="L90" t="str">
        <f t="shared" si="7"/>
        <v>82039945286940</v>
      </c>
      <c r="M90" t="s">
        <v>294</v>
      </c>
      <c r="N90" t="s">
        <v>295</v>
      </c>
      <c r="O90" t="s">
        <v>296</v>
      </c>
      <c r="P90" t="s">
        <v>297</v>
      </c>
      <c r="Q90" t="s">
        <v>298</v>
      </c>
      <c r="R90" t="s">
        <v>299</v>
      </c>
      <c r="S90" s="4">
        <f t="shared" si="8"/>
        <v>31.717936349780999</v>
      </c>
      <c r="T90" t="s">
        <v>300</v>
      </c>
      <c r="U90" s="4">
        <f t="shared" si="9"/>
        <v>12.9577255819414</v>
      </c>
      <c r="V90" t="s">
        <v>301</v>
      </c>
      <c r="W90" t="s">
        <v>302</v>
      </c>
      <c r="X90" t="s">
        <v>303</v>
      </c>
      <c r="Y90" t="s">
        <v>304</v>
      </c>
    </row>
    <row r="91" spans="1:25" x14ac:dyDescent="0.25">
      <c r="A91" t="s">
        <v>90</v>
      </c>
      <c r="B91">
        <v>39.783106936488302</v>
      </c>
      <c r="C91">
        <v>16.2880826342641</v>
      </c>
      <c r="D91" s="2" t="s">
        <v>234</v>
      </c>
      <c r="F91" s="5" t="str">
        <f t="shared" si="5"/>
        <v>New "Load.M2_m2_trf_5286941a" bus1="82040015286941.1.2.3.4" phases=3 conn=Wye model=3 kv=0.380 kw=39,7831069364883 kvar=16,2880826342641 daily="RES-Tipo3_DU" status=variable vmaxpu=1.5 vminpu=0.92</v>
      </c>
      <c r="G91" t="s">
        <v>290</v>
      </c>
      <c r="H91" t="s">
        <v>291</v>
      </c>
      <c r="I91" s="4" t="str">
        <f t="shared" si="6"/>
        <v>m2_trf_5286941a</v>
      </c>
      <c r="J91" t="s">
        <v>292</v>
      </c>
      <c r="K91" t="s">
        <v>293</v>
      </c>
      <c r="L91" t="str">
        <f t="shared" si="7"/>
        <v>82040015286941</v>
      </c>
      <c r="M91" t="s">
        <v>294</v>
      </c>
      <c r="N91" t="s">
        <v>295</v>
      </c>
      <c r="O91" t="s">
        <v>296</v>
      </c>
      <c r="P91" t="s">
        <v>297</v>
      </c>
      <c r="Q91" t="s">
        <v>298</v>
      </c>
      <c r="R91" t="s">
        <v>299</v>
      </c>
      <c r="S91" s="4">
        <f t="shared" si="8"/>
        <v>39.783106936488302</v>
      </c>
      <c r="T91" t="s">
        <v>300</v>
      </c>
      <c r="U91" s="4">
        <f t="shared" si="9"/>
        <v>16.2880826342641</v>
      </c>
      <c r="V91" t="s">
        <v>301</v>
      </c>
      <c r="W91" t="s">
        <v>302</v>
      </c>
      <c r="X91" t="s">
        <v>303</v>
      </c>
      <c r="Y91" t="s">
        <v>304</v>
      </c>
    </row>
    <row r="92" spans="1:25" x14ac:dyDescent="0.25">
      <c r="A92" t="s">
        <v>91</v>
      </c>
      <c r="B92">
        <v>17.306222237733799</v>
      </c>
      <c r="C92">
        <v>7.11447969154188</v>
      </c>
      <c r="D92" s="2" t="s">
        <v>235</v>
      </c>
      <c r="F92" s="5" t="str">
        <f t="shared" si="5"/>
        <v>New "Load.M2_m2_trf_5286942a" bus1="82040165286942.1.2.3.4" phases=3 conn=Wye model=3 kv=0.380 kw=17,3062222377338 kvar=7,11447969154188 daily="RES-Tipo3_DU" status=variable vmaxpu=1.5 vminpu=0.92</v>
      </c>
      <c r="G92" t="s">
        <v>290</v>
      </c>
      <c r="H92" t="s">
        <v>291</v>
      </c>
      <c r="I92" s="4" t="str">
        <f t="shared" si="6"/>
        <v>m2_trf_5286942a</v>
      </c>
      <c r="J92" t="s">
        <v>292</v>
      </c>
      <c r="K92" t="s">
        <v>293</v>
      </c>
      <c r="L92" t="str">
        <f t="shared" si="7"/>
        <v>82040165286942</v>
      </c>
      <c r="M92" t="s">
        <v>294</v>
      </c>
      <c r="N92" t="s">
        <v>295</v>
      </c>
      <c r="O92" t="s">
        <v>296</v>
      </c>
      <c r="P92" t="s">
        <v>297</v>
      </c>
      <c r="Q92" t="s">
        <v>298</v>
      </c>
      <c r="R92" t="s">
        <v>299</v>
      </c>
      <c r="S92" s="4">
        <f t="shared" si="8"/>
        <v>17.306222237733799</v>
      </c>
      <c r="T92" t="s">
        <v>300</v>
      </c>
      <c r="U92" s="4">
        <f t="shared" si="9"/>
        <v>7.11447969154188</v>
      </c>
      <c r="V92" t="s">
        <v>301</v>
      </c>
      <c r="W92" t="s">
        <v>302</v>
      </c>
      <c r="X92" t="s">
        <v>303</v>
      </c>
      <c r="Y92" t="s">
        <v>304</v>
      </c>
    </row>
    <row r="93" spans="1:25" x14ac:dyDescent="0.25">
      <c r="A93" t="s">
        <v>92</v>
      </c>
      <c r="B93">
        <v>14.933437314552201</v>
      </c>
      <c r="C93">
        <v>6.1162306335656798</v>
      </c>
      <c r="D93" s="2" t="s">
        <v>236</v>
      </c>
      <c r="F93" s="5" t="str">
        <f t="shared" si="5"/>
        <v>New "Load.M2_m2_trf_5286943a" bus1="82040265286943.1.2.3.4" phases=3 conn=Wye model=3 kv=0.380 kw=14,9334373145522 kvar=6,11623063356568 daily="RES-Tipo3_DU" status=variable vmaxpu=1.5 vminpu=0.92</v>
      </c>
      <c r="G93" t="s">
        <v>290</v>
      </c>
      <c r="H93" t="s">
        <v>291</v>
      </c>
      <c r="I93" s="4" t="str">
        <f t="shared" si="6"/>
        <v>m2_trf_5286943a</v>
      </c>
      <c r="J93" t="s">
        <v>292</v>
      </c>
      <c r="K93" t="s">
        <v>293</v>
      </c>
      <c r="L93" t="str">
        <f t="shared" si="7"/>
        <v>82040265286943</v>
      </c>
      <c r="M93" t="s">
        <v>294</v>
      </c>
      <c r="N93" t="s">
        <v>295</v>
      </c>
      <c r="O93" t="s">
        <v>296</v>
      </c>
      <c r="P93" t="s">
        <v>297</v>
      </c>
      <c r="Q93" t="s">
        <v>298</v>
      </c>
      <c r="R93" t="s">
        <v>299</v>
      </c>
      <c r="S93" s="4">
        <f t="shared" si="8"/>
        <v>14.933437314552201</v>
      </c>
      <c r="T93" t="s">
        <v>300</v>
      </c>
      <c r="U93" s="4">
        <f t="shared" si="9"/>
        <v>6.1162306335656798</v>
      </c>
      <c r="V93" t="s">
        <v>301</v>
      </c>
      <c r="W93" t="s">
        <v>302</v>
      </c>
      <c r="X93" t="s">
        <v>303</v>
      </c>
      <c r="Y93" t="s">
        <v>304</v>
      </c>
    </row>
    <row r="94" spans="1:25" x14ac:dyDescent="0.25">
      <c r="A94" t="s">
        <v>93</v>
      </c>
      <c r="B94">
        <v>20.189794509693499</v>
      </c>
      <c r="C94">
        <v>8.29670113478765</v>
      </c>
      <c r="D94" s="2" t="s">
        <v>237</v>
      </c>
      <c r="F94" s="5" t="str">
        <f t="shared" si="5"/>
        <v>New "Load.M2_m2_trf_5286944a" bus1="82039725286944.1.2.3.4" phases=3 conn=Wye model=3 kv=0.380 kw=20,1897945096935 kvar=8,29670113478765 daily="RES-Tipo3_DU" status=variable vmaxpu=1.5 vminpu=0.92</v>
      </c>
      <c r="G94" t="s">
        <v>290</v>
      </c>
      <c r="H94" t="s">
        <v>291</v>
      </c>
      <c r="I94" s="4" t="str">
        <f t="shared" si="6"/>
        <v>m2_trf_5286944a</v>
      </c>
      <c r="J94" t="s">
        <v>292</v>
      </c>
      <c r="K94" t="s">
        <v>293</v>
      </c>
      <c r="L94" t="str">
        <f t="shared" si="7"/>
        <v>82039725286944</v>
      </c>
      <c r="M94" t="s">
        <v>294</v>
      </c>
      <c r="N94" t="s">
        <v>295</v>
      </c>
      <c r="O94" t="s">
        <v>296</v>
      </c>
      <c r="P94" t="s">
        <v>297</v>
      </c>
      <c r="Q94" t="s">
        <v>298</v>
      </c>
      <c r="R94" t="s">
        <v>299</v>
      </c>
      <c r="S94" s="4">
        <f t="shared" si="8"/>
        <v>20.189794509693499</v>
      </c>
      <c r="T94" t="s">
        <v>300</v>
      </c>
      <c r="U94" s="4">
        <f t="shared" si="9"/>
        <v>8.29670113478765</v>
      </c>
      <c r="V94" t="s">
        <v>301</v>
      </c>
      <c r="W94" t="s">
        <v>302</v>
      </c>
      <c r="X94" t="s">
        <v>303</v>
      </c>
      <c r="Y94" t="s">
        <v>304</v>
      </c>
    </row>
    <row r="95" spans="1:25" x14ac:dyDescent="0.25">
      <c r="A95" t="s">
        <v>94</v>
      </c>
      <c r="B95">
        <v>40.704048117656399</v>
      </c>
      <c r="C95">
        <v>16.719597268150299</v>
      </c>
      <c r="D95" s="2" t="s">
        <v>238</v>
      </c>
      <c r="F95" s="5" t="str">
        <f t="shared" si="5"/>
        <v>New "Load.M2_m2_trf_5286945a" bus1="82040415286945.1.2.3.4" phases=3 conn=Wye model=3 kv=0.380 kw=40,7040481176564 kvar=16,7195972681503 daily="RES-Tipo3_DU" status=variable vmaxpu=1.5 vminpu=0.92</v>
      </c>
      <c r="G95" t="s">
        <v>290</v>
      </c>
      <c r="H95" t="s">
        <v>291</v>
      </c>
      <c r="I95" s="4" t="str">
        <f t="shared" si="6"/>
        <v>m2_trf_5286945a</v>
      </c>
      <c r="J95" t="s">
        <v>292</v>
      </c>
      <c r="K95" t="s">
        <v>293</v>
      </c>
      <c r="L95" t="str">
        <f t="shared" si="7"/>
        <v>82040415286945</v>
      </c>
      <c r="M95" t="s">
        <v>294</v>
      </c>
      <c r="N95" t="s">
        <v>295</v>
      </c>
      <c r="O95" t="s">
        <v>296</v>
      </c>
      <c r="P95" t="s">
        <v>297</v>
      </c>
      <c r="Q95" t="s">
        <v>298</v>
      </c>
      <c r="R95" t="s">
        <v>299</v>
      </c>
      <c r="S95" s="4">
        <f t="shared" si="8"/>
        <v>40.704048117656399</v>
      </c>
      <c r="T95" t="s">
        <v>300</v>
      </c>
      <c r="U95" s="4">
        <f t="shared" si="9"/>
        <v>16.719597268150299</v>
      </c>
      <c r="V95" t="s">
        <v>301</v>
      </c>
      <c r="W95" t="s">
        <v>302</v>
      </c>
      <c r="X95" t="s">
        <v>303</v>
      </c>
      <c r="Y95" t="s">
        <v>304</v>
      </c>
    </row>
    <row r="96" spans="1:25" x14ac:dyDescent="0.25">
      <c r="A96" t="s">
        <v>95</v>
      </c>
      <c r="B96">
        <v>21.808133111933799</v>
      </c>
      <c r="C96">
        <v>8.9366292531931499</v>
      </c>
      <c r="D96" s="2" t="s">
        <v>239</v>
      </c>
      <c r="F96" s="5" t="str">
        <f t="shared" si="5"/>
        <v>New "Load.M2_m2_trf_5286946a" bus1="82040575286946.1.2.3.4" phases=3 conn=Wye model=3 kv=0.380 kw=21,8081331119338 kvar=8,93662925319315 daily="RES-Tipo3_DU" status=variable vmaxpu=1.5 vminpu=0.92</v>
      </c>
      <c r="G96" t="s">
        <v>290</v>
      </c>
      <c r="H96" t="s">
        <v>291</v>
      </c>
      <c r="I96" s="4" t="str">
        <f t="shared" si="6"/>
        <v>m2_trf_5286946a</v>
      </c>
      <c r="J96" t="s">
        <v>292</v>
      </c>
      <c r="K96" t="s">
        <v>293</v>
      </c>
      <c r="L96" t="str">
        <f t="shared" si="7"/>
        <v>82040575286946</v>
      </c>
      <c r="M96" t="s">
        <v>294</v>
      </c>
      <c r="N96" t="s">
        <v>295</v>
      </c>
      <c r="O96" t="s">
        <v>296</v>
      </c>
      <c r="P96" t="s">
        <v>297</v>
      </c>
      <c r="Q96" t="s">
        <v>298</v>
      </c>
      <c r="R96" t="s">
        <v>299</v>
      </c>
      <c r="S96" s="4">
        <f t="shared" si="8"/>
        <v>21.808133111933799</v>
      </c>
      <c r="T96" t="s">
        <v>300</v>
      </c>
      <c r="U96" s="4">
        <f t="shared" si="9"/>
        <v>8.9366292531931499</v>
      </c>
      <c r="V96" t="s">
        <v>301</v>
      </c>
      <c r="W96" t="s">
        <v>302</v>
      </c>
      <c r="X96" t="s">
        <v>303</v>
      </c>
      <c r="Y96" t="s">
        <v>304</v>
      </c>
    </row>
    <row r="97" spans="1:25" x14ac:dyDescent="0.25">
      <c r="A97" t="s">
        <v>96</v>
      </c>
      <c r="B97">
        <v>37.665628338625801</v>
      </c>
      <c r="C97">
        <v>15.4703819881149</v>
      </c>
      <c r="D97" s="2" t="s">
        <v>240</v>
      </c>
      <c r="F97" s="5" t="str">
        <f t="shared" si="5"/>
        <v>New "Load.M2_m2_trf_5440862a" bus1="81479715440862.1.2.3.4" phases=3 conn=Wye model=3 kv=0.380 kw=37,6656283386258 kvar=15,4703819881149 daily="RES-Tipo3_DU" status=variable vmaxpu=1.5 vminpu=0.92</v>
      </c>
      <c r="G97" t="s">
        <v>290</v>
      </c>
      <c r="H97" t="s">
        <v>291</v>
      </c>
      <c r="I97" s="4" t="str">
        <f t="shared" si="6"/>
        <v>m2_trf_5440862a</v>
      </c>
      <c r="J97" t="s">
        <v>292</v>
      </c>
      <c r="K97" t="s">
        <v>293</v>
      </c>
      <c r="L97" t="str">
        <f t="shared" si="7"/>
        <v>81479715440862</v>
      </c>
      <c r="M97" t="s">
        <v>294</v>
      </c>
      <c r="N97" t="s">
        <v>295</v>
      </c>
      <c r="O97" t="s">
        <v>296</v>
      </c>
      <c r="P97" t="s">
        <v>297</v>
      </c>
      <c r="Q97" t="s">
        <v>298</v>
      </c>
      <c r="R97" t="s">
        <v>299</v>
      </c>
      <c r="S97" s="4">
        <f t="shared" si="8"/>
        <v>37.665628338625801</v>
      </c>
      <c r="T97" t="s">
        <v>300</v>
      </c>
      <c r="U97" s="4">
        <f t="shared" si="9"/>
        <v>15.4703819881149</v>
      </c>
      <c r="V97" t="s">
        <v>301</v>
      </c>
      <c r="W97" t="s">
        <v>302</v>
      </c>
      <c r="X97" t="s">
        <v>303</v>
      </c>
      <c r="Y97" t="s">
        <v>304</v>
      </c>
    </row>
    <row r="98" spans="1:25" x14ac:dyDescent="0.25">
      <c r="A98" t="s">
        <v>97</v>
      </c>
      <c r="B98">
        <v>21.173755132339299</v>
      </c>
      <c r="C98">
        <v>8.6343938737132007</v>
      </c>
      <c r="D98" s="2" t="s">
        <v>241</v>
      </c>
      <c r="F98" s="5" t="str">
        <f t="shared" si="5"/>
        <v>New "Load.M2_m2_trf_5469845a" bus1="82032105469845.1.2.3.4" phases=3 conn=Wye model=3 kv=0.380 kw=21,1737551323393 kvar=8,6343938737132 daily="RES-Tipo3_DU" status=variable vmaxpu=1.5 vminpu=0.92</v>
      </c>
      <c r="G98" t="s">
        <v>290</v>
      </c>
      <c r="H98" t="s">
        <v>291</v>
      </c>
      <c r="I98" s="4" t="str">
        <f t="shared" si="6"/>
        <v>m2_trf_5469845a</v>
      </c>
      <c r="J98" t="s">
        <v>292</v>
      </c>
      <c r="K98" t="s">
        <v>293</v>
      </c>
      <c r="L98" t="str">
        <f t="shared" si="7"/>
        <v>82032105469845</v>
      </c>
      <c r="M98" t="s">
        <v>294</v>
      </c>
      <c r="N98" t="s">
        <v>295</v>
      </c>
      <c r="O98" t="s">
        <v>296</v>
      </c>
      <c r="P98" t="s">
        <v>297</v>
      </c>
      <c r="Q98" t="s">
        <v>298</v>
      </c>
      <c r="R98" t="s">
        <v>299</v>
      </c>
      <c r="S98" s="4">
        <f t="shared" si="8"/>
        <v>21.173755132339299</v>
      </c>
      <c r="T98" t="s">
        <v>300</v>
      </c>
      <c r="U98" s="4">
        <f t="shared" si="9"/>
        <v>8.6343938737132007</v>
      </c>
      <c r="V98" t="s">
        <v>301</v>
      </c>
      <c r="W98" t="s">
        <v>302</v>
      </c>
      <c r="X98" t="s">
        <v>303</v>
      </c>
      <c r="Y98" t="s">
        <v>304</v>
      </c>
    </row>
    <row r="99" spans="1:25" x14ac:dyDescent="0.25">
      <c r="A99" t="s">
        <v>98</v>
      </c>
      <c r="B99">
        <v>17.358884187906899</v>
      </c>
      <c r="C99">
        <v>7.0881010214084696</v>
      </c>
      <c r="D99" s="2" t="s">
        <v>242</v>
      </c>
      <c r="F99" s="5" t="str">
        <f t="shared" si="5"/>
        <v>New "Load.M2_m2_trf_5470133a" bus1="82034125470133.1.2.3.4" phases=3 conn=Wye model=3 kv=0.380 kw=17,3588841879069 kvar=7,08810102140847 daily="RES-Tipo3_DU" status=variable vmaxpu=1.5 vminpu=0.92</v>
      </c>
      <c r="G99" t="s">
        <v>290</v>
      </c>
      <c r="H99" t="s">
        <v>291</v>
      </c>
      <c r="I99" s="4" t="str">
        <f t="shared" si="6"/>
        <v>m2_trf_5470133a</v>
      </c>
      <c r="J99" t="s">
        <v>292</v>
      </c>
      <c r="K99" t="s">
        <v>293</v>
      </c>
      <c r="L99" t="str">
        <f t="shared" si="7"/>
        <v>82034125470133</v>
      </c>
      <c r="M99" t="s">
        <v>294</v>
      </c>
      <c r="N99" t="s">
        <v>295</v>
      </c>
      <c r="O99" t="s">
        <v>296</v>
      </c>
      <c r="P99" t="s">
        <v>297</v>
      </c>
      <c r="Q99" t="s">
        <v>298</v>
      </c>
      <c r="R99" t="s">
        <v>299</v>
      </c>
      <c r="S99" s="4">
        <f t="shared" si="8"/>
        <v>17.358884187906899</v>
      </c>
      <c r="T99" t="s">
        <v>300</v>
      </c>
      <c r="U99" s="4">
        <f t="shared" si="9"/>
        <v>7.0881010214084696</v>
      </c>
      <c r="V99" t="s">
        <v>301</v>
      </c>
      <c r="W99" t="s">
        <v>302</v>
      </c>
      <c r="X99" t="s">
        <v>303</v>
      </c>
      <c r="Y99" t="s">
        <v>304</v>
      </c>
    </row>
    <row r="100" spans="1:25" x14ac:dyDescent="0.25">
      <c r="A100" t="s">
        <v>99</v>
      </c>
      <c r="B100">
        <v>12.324671898623</v>
      </c>
      <c r="C100">
        <v>5.1729465361282898</v>
      </c>
      <c r="D100" s="2" t="s">
        <v>243</v>
      </c>
      <c r="F100" s="5" t="str">
        <f t="shared" si="5"/>
        <v>New "Load.M2_m2_trf_5472282a" bus1="87774405472282.1.2.3.4" phases=3 conn=Wye model=3 kv=0.380 kw=12,324671898623 kvar=5,17294653612829 daily="RES-Tipo3_DU" status=variable vmaxpu=1.5 vminpu=0.92</v>
      </c>
      <c r="G100" t="s">
        <v>290</v>
      </c>
      <c r="H100" t="s">
        <v>291</v>
      </c>
      <c r="I100" s="4" t="str">
        <f t="shared" si="6"/>
        <v>m2_trf_5472282a</v>
      </c>
      <c r="J100" t="s">
        <v>292</v>
      </c>
      <c r="K100" t="s">
        <v>293</v>
      </c>
      <c r="L100" t="str">
        <f t="shared" si="7"/>
        <v>87774405472282</v>
      </c>
      <c r="M100" t="s">
        <v>294</v>
      </c>
      <c r="N100" t="s">
        <v>295</v>
      </c>
      <c r="O100" t="s">
        <v>296</v>
      </c>
      <c r="P100" t="s">
        <v>297</v>
      </c>
      <c r="Q100" t="s">
        <v>298</v>
      </c>
      <c r="R100" t="s">
        <v>299</v>
      </c>
      <c r="S100" s="4">
        <f t="shared" si="8"/>
        <v>12.324671898623</v>
      </c>
      <c r="T100" t="s">
        <v>300</v>
      </c>
      <c r="U100" s="4">
        <f t="shared" si="9"/>
        <v>5.1729465361282898</v>
      </c>
      <c r="V100" t="s">
        <v>301</v>
      </c>
      <c r="W100" t="s">
        <v>302</v>
      </c>
      <c r="X100" t="s">
        <v>303</v>
      </c>
      <c r="Y100" t="s">
        <v>304</v>
      </c>
    </row>
    <row r="101" spans="1:25" x14ac:dyDescent="0.25">
      <c r="A101" t="s">
        <v>100</v>
      </c>
      <c r="B101">
        <v>13.153522918372699</v>
      </c>
      <c r="C101">
        <v>5.4317473270365904</v>
      </c>
      <c r="D101" s="2" t="s">
        <v>244</v>
      </c>
      <c r="F101" s="5" t="str">
        <f t="shared" si="5"/>
        <v>New "Load.M2_m2_trf_5479360a" bus1="81460535479360.1.2.3.4" phases=3 conn=Wye model=3 kv=0.380 kw=13,1535229183727 kvar=5,43174732703659 daily="RES-Tipo3_DU" status=variable vmaxpu=1.5 vminpu=0.92</v>
      </c>
      <c r="G101" t="s">
        <v>290</v>
      </c>
      <c r="H101" t="s">
        <v>291</v>
      </c>
      <c r="I101" s="4" t="str">
        <f t="shared" si="6"/>
        <v>m2_trf_5479360a</v>
      </c>
      <c r="J101" t="s">
        <v>292</v>
      </c>
      <c r="K101" t="s">
        <v>293</v>
      </c>
      <c r="L101" t="str">
        <f t="shared" si="7"/>
        <v>81460535479360</v>
      </c>
      <c r="M101" t="s">
        <v>294</v>
      </c>
      <c r="N101" t="s">
        <v>295</v>
      </c>
      <c r="O101" t="s">
        <v>296</v>
      </c>
      <c r="P101" t="s">
        <v>297</v>
      </c>
      <c r="Q101" t="s">
        <v>298</v>
      </c>
      <c r="R101" t="s">
        <v>299</v>
      </c>
      <c r="S101" s="4">
        <f t="shared" si="8"/>
        <v>13.153522918372699</v>
      </c>
      <c r="T101" t="s">
        <v>300</v>
      </c>
      <c r="U101" s="4">
        <f t="shared" si="9"/>
        <v>5.4317473270365904</v>
      </c>
      <c r="V101" t="s">
        <v>301</v>
      </c>
      <c r="W101" t="s">
        <v>302</v>
      </c>
      <c r="X101" t="s">
        <v>303</v>
      </c>
      <c r="Y101" t="s">
        <v>304</v>
      </c>
    </row>
    <row r="102" spans="1:25" x14ac:dyDescent="0.25">
      <c r="A102" t="s">
        <v>101</v>
      </c>
      <c r="B102">
        <v>13.3737273361789</v>
      </c>
      <c r="C102">
        <v>5.5120356893851197</v>
      </c>
      <c r="D102" s="2" t="s">
        <v>245</v>
      </c>
      <c r="F102" s="5" t="str">
        <f t="shared" si="5"/>
        <v>New "Load.M2_m2_trf_5491509a" bus1="88287355491509.1.2.3.4" phases=3 conn=Wye model=3 kv=0.380 kw=13,3737273361789 kvar=5,51203568938512 daily="RES-Tipo3_DU" status=variable vmaxpu=1.5 vminpu=0.92</v>
      </c>
      <c r="G102" t="s">
        <v>290</v>
      </c>
      <c r="H102" t="s">
        <v>291</v>
      </c>
      <c r="I102" s="4" t="str">
        <f t="shared" si="6"/>
        <v>m2_trf_5491509a</v>
      </c>
      <c r="J102" t="s">
        <v>292</v>
      </c>
      <c r="K102" t="s">
        <v>293</v>
      </c>
      <c r="L102" t="str">
        <f t="shared" si="7"/>
        <v>88287355491509</v>
      </c>
      <c r="M102" t="s">
        <v>294</v>
      </c>
      <c r="N102" t="s">
        <v>295</v>
      </c>
      <c r="O102" t="s">
        <v>296</v>
      </c>
      <c r="P102" t="s">
        <v>297</v>
      </c>
      <c r="Q102" t="s">
        <v>298</v>
      </c>
      <c r="R102" t="s">
        <v>299</v>
      </c>
      <c r="S102" s="4">
        <f t="shared" si="8"/>
        <v>13.3737273361789</v>
      </c>
      <c r="T102" t="s">
        <v>300</v>
      </c>
      <c r="U102" s="4">
        <f t="shared" si="9"/>
        <v>5.5120356893851197</v>
      </c>
      <c r="V102" t="s">
        <v>301</v>
      </c>
      <c r="W102" t="s">
        <v>302</v>
      </c>
      <c r="X102" t="s">
        <v>303</v>
      </c>
      <c r="Y102" t="s">
        <v>304</v>
      </c>
    </row>
    <row r="103" spans="1:25" x14ac:dyDescent="0.25">
      <c r="A103" t="s">
        <v>102</v>
      </c>
      <c r="B103">
        <v>34.561625069991003</v>
      </c>
      <c r="C103">
        <v>14.1597656990213</v>
      </c>
      <c r="D103" s="2" t="s">
        <v>246</v>
      </c>
      <c r="F103" s="5" t="str">
        <f t="shared" si="5"/>
        <v>New "Load.M2_m2_trf_5499009a" bus1="82062715499009.1.2.3.4" phases=3 conn=Wye model=3 kv=0.380 kw=34,561625069991 kvar=14,1597656990213 daily="RES-Tipo3_DU" status=variable vmaxpu=1.5 vminpu=0.92</v>
      </c>
      <c r="G103" t="s">
        <v>290</v>
      </c>
      <c r="H103" t="s">
        <v>291</v>
      </c>
      <c r="I103" s="4" t="str">
        <f t="shared" si="6"/>
        <v>m2_trf_5499009a</v>
      </c>
      <c r="J103" t="s">
        <v>292</v>
      </c>
      <c r="K103" t="s">
        <v>293</v>
      </c>
      <c r="L103" t="str">
        <f t="shared" si="7"/>
        <v>82062715499009</v>
      </c>
      <c r="M103" t="s">
        <v>294</v>
      </c>
      <c r="N103" t="s">
        <v>295</v>
      </c>
      <c r="O103" t="s">
        <v>296</v>
      </c>
      <c r="P103" t="s">
        <v>297</v>
      </c>
      <c r="Q103" t="s">
        <v>298</v>
      </c>
      <c r="R103" t="s">
        <v>299</v>
      </c>
      <c r="S103" s="4">
        <f t="shared" si="8"/>
        <v>34.561625069991003</v>
      </c>
      <c r="T103" t="s">
        <v>300</v>
      </c>
      <c r="U103" s="4">
        <f t="shared" si="9"/>
        <v>14.1597656990213</v>
      </c>
      <c r="V103" t="s">
        <v>301</v>
      </c>
      <c r="W103" t="s">
        <v>302</v>
      </c>
      <c r="X103" t="s">
        <v>303</v>
      </c>
      <c r="Y103" t="s">
        <v>304</v>
      </c>
    </row>
    <row r="104" spans="1:25" x14ac:dyDescent="0.25">
      <c r="A104" t="s">
        <v>103</v>
      </c>
      <c r="B104">
        <v>13.1035592197738</v>
      </c>
      <c r="C104">
        <v>5.4068505661274404</v>
      </c>
      <c r="D104" s="2" t="s">
        <v>247</v>
      </c>
      <c r="F104" s="5" t="str">
        <f t="shared" si="5"/>
        <v>New "Load.M2_m2_trf_5485359a" bus1="88109845485359.1.2.3.4" phases=3 conn=Wye model=3 kv=0.380 kw=13,1035592197738 kvar=5,40685056612744 daily="RES-Tipo3_DU" status=variable vmaxpu=1.5 vminpu=0.92</v>
      </c>
      <c r="G104" t="s">
        <v>290</v>
      </c>
      <c r="H104" t="s">
        <v>291</v>
      </c>
      <c r="I104" s="4" t="str">
        <f t="shared" si="6"/>
        <v>m2_trf_5485359a</v>
      </c>
      <c r="J104" t="s">
        <v>292</v>
      </c>
      <c r="K104" t="s">
        <v>293</v>
      </c>
      <c r="L104" t="str">
        <f t="shared" si="7"/>
        <v>88109845485359</v>
      </c>
      <c r="M104" t="s">
        <v>294</v>
      </c>
      <c r="N104" t="s">
        <v>295</v>
      </c>
      <c r="O104" t="s">
        <v>296</v>
      </c>
      <c r="P104" t="s">
        <v>297</v>
      </c>
      <c r="Q104" t="s">
        <v>298</v>
      </c>
      <c r="R104" t="s">
        <v>299</v>
      </c>
      <c r="S104" s="4">
        <f t="shared" si="8"/>
        <v>13.1035592197738</v>
      </c>
      <c r="T104" t="s">
        <v>300</v>
      </c>
      <c r="U104" s="4">
        <f t="shared" si="9"/>
        <v>5.4068505661274404</v>
      </c>
      <c r="V104" t="s">
        <v>301</v>
      </c>
      <c r="W104" t="s">
        <v>302</v>
      </c>
      <c r="X104" t="s">
        <v>303</v>
      </c>
      <c r="Y104" t="s">
        <v>304</v>
      </c>
    </row>
    <row r="105" spans="1:25" x14ac:dyDescent="0.25">
      <c r="A105" t="s">
        <v>104</v>
      </c>
      <c r="B105">
        <v>39.7336484456996</v>
      </c>
      <c r="C105">
        <v>16.2414512368331</v>
      </c>
      <c r="D105" s="2" t="s">
        <v>248</v>
      </c>
      <c r="F105" s="5" t="str">
        <f t="shared" si="5"/>
        <v>New "Load.M2_m2_trf_5502834a" bus1="82026575502834.1.2.3.4" phases=3 conn=Wye model=3 kv=0.380 kw=39,7336484456996 kvar=16,2414512368331 daily="RES-Tipo3_DU" status=variable vmaxpu=1.5 vminpu=0.92</v>
      </c>
      <c r="G105" t="s">
        <v>290</v>
      </c>
      <c r="H105" t="s">
        <v>291</v>
      </c>
      <c r="I105" s="4" t="str">
        <f t="shared" si="6"/>
        <v>m2_trf_5502834a</v>
      </c>
      <c r="J105" t="s">
        <v>292</v>
      </c>
      <c r="K105" t="s">
        <v>293</v>
      </c>
      <c r="L105" t="str">
        <f t="shared" si="7"/>
        <v>82026575502834</v>
      </c>
      <c r="M105" t="s">
        <v>294</v>
      </c>
      <c r="N105" t="s">
        <v>295</v>
      </c>
      <c r="O105" t="s">
        <v>296</v>
      </c>
      <c r="P105" t="s">
        <v>297</v>
      </c>
      <c r="Q105" t="s">
        <v>298</v>
      </c>
      <c r="R105" t="s">
        <v>299</v>
      </c>
      <c r="S105" s="4">
        <f t="shared" si="8"/>
        <v>39.7336484456996</v>
      </c>
      <c r="T105" t="s">
        <v>300</v>
      </c>
      <c r="U105" s="4">
        <f t="shared" si="9"/>
        <v>16.2414512368331</v>
      </c>
      <c r="V105" t="s">
        <v>301</v>
      </c>
      <c r="W105" t="s">
        <v>302</v>
      </c>
      <c r="X105" t="s">
        <v>303</v>
      </c>
      <c r="Y105" t="s">
        <v>304</v>
      </c>
    </row>
    <row r="106" spans="1:25" x14ac:dyDescent="0.25">
      <c r="A106" t="s">
        <v>105</v>
      </c>
      <c r="B106">
        <v>53.146084544506103</v>
      </c>
      <c r="C106">
        <v>21.682597488221202</v>
      </c>
      <c r="D106" s="2" t="s">
        <v>249</v>
      </c>
      <c r="F106" s="5" t="str">
        <f t="shared" si="5"/>
        <v>New "Load.M2_m2_trf_5505307a" bus1="82034555505307.1.2.3.4" phases=3 conn=Wye model=3 kv=0.380 kw=53,1460845445061 kvar=21,6825974882212 daily="RES-Tipo3_DU" status=variable vmaxpu=1.5 vminpu=0.92</v>
      </c>
      <c r="G106" t="s">
        <v>290</v>
      </c>
      <c r="H106" t="s">
        <v>291</v>
      </c>
      <c r="I106" s="4" t="str">
        <f t="shared" si="6"/>
        <v>m2_trf_5505307a</v>
      </c>
      <c r="J106" t="s">
        <v>292</v>
      </c>
      <c r="K106" t="s">
        <v>293</v>
      </c>
      <c r="L106" t="str">
        <f t="shared" si="7"/>
        <v>82034555505307</v>
      </c>
      <c r="M106" t="s">
        <v>294</v>
      </c>
      <c r="N106" t="s">
        <v>295</v>
      </c>
      <c r="O106" t="s">
        <v>296</v>
      </c>
      <c r="P106" t="s">
        <v>297</v>
      </c>
      <c r="Q106" t="s">
        <v>298</v>
      </c>
      <c r="R106" t="s">
        <v>299</v>
      </c>
      <c r="S106" s="4">
        <f t="shared" si="8"/>
        <v>53.146084544506103</v>
      </c>
      <c r="T106" t="s">
        <v>300</v>
      </c>
      <c r="U106" s="4">
        <f t="shared" si="9"/>
        <v>21.682597488221202</v>
      </c>
      <c r="V106" t="s">
        <v>301</v>
      </c>
      <c r="W106" t="s">
        <v>302</v>
      </c>
      <c r="X106" t="s">
        <v>303</v>
      </c>
      <c r="Y106" t="s">
        <v>304</v>
      </c>
    </row>
    <row r="107" spans="1:25" x14ac:dyDescent="0.25">
      <c r="A107" t="s">
        <v>106</v>
      </c>
      <c r="B107">
        <v>27.319112035807201</v>
      </c>
      <c r="C107">
        <v>11.288618076573901</v>
      </c>
      <c r="D107" s="2" t="s">
        <v>250</v>
      </c>
      <c r="F107" s="5" t="str">
        <f t="shared" si="5"/>
        <v>New "Load.M2_m2_trf_5535535a" bus1="89701935535535.1.2.3.4" phases=3 conn=Wye model=3 kv=0.380 kw=27,3191120358072 kvar=11,2886180765739 daily="RES-Tipo3_DU" status=variable vmaxpu=1.5 vminpu=0.92</v>
      </c>
      <c r="G107" t="s">
        <v>290</v>
      </c>
      <c r="H107" t="s">
        <v>291</v>
      </c>
      <c r="I107" s="4" t="str">
        <f t="shared" si="6"/>
        <v>m2_trf_5535535a</v>
      </c>
      <c r="J107" t="s">
        <v>292</v>
      </c>
      <c r="K107" t="s">
        <v>293</v>
      </c>
      <c r="L107" t="str">
        <f t="shared" si="7"/>
        <v>89701935535535</v>
      </c>
      <c r="M107" t="s">
        <v>294</v>
      </c>
      <c r="N107" t="s">
        <v>295</v>
      </c>
      <c r="O107" t="s">
        <v>296</v>
      </c>
      <c r="P107" t="s">
        <v>297</v>
      </c>
      <c r="Q107" t="s">
        <v>298</v>
      </c>
      <c r="R107" t="s">
        <v>299</v>
      </c>
      <c r="S107" s="4">
        <f t="shared" si="8"/>
        <v>27.319112035807201</v>
      </c>
      <c r="T107" t="s">
        <v>300</v>
      </c>
      <c r="U107" s="4">
        <f t="shared" si="9"/>
        <v>11.288618076573901</v>
      </c>
      <c r="V107" t="s">
        <v>301</v>
      </c>
      <c r="W107" t="s">
        <v>302</v>
      </c>
      <c r="X107" t="s">
        <v>303</v>
      </c>
      <c r="Y107" t="s">
        <v>304</v>
      </c>
    </row>
    <row r="108" spans="1:25" x14ac:dyDescent="0.25">
      <c r="A108" t="s">
        <v>107</v>
      </c>
      <c r="B108">
        <v>16.892759270217901</v>
      </c>
      <c r="C108">
        <v>6.9350228251887502</v>
      </c>
      <c r="D108" s="2" t="s">
        <v>251</v>
      </c>
      <c r="F108" s="5" t="str">
        <f t="shared" si="5"/>
        <v>New "Load.M2_m2_trf_5537656a" bus1="89813615537656.1.2.3.4" phases=3 conn=Wye model=3 kv=0.380 kw=16,8927592702179 kvar=6,93502282518875 daily="RES-Tipo3_DU" status=variable vmaxpu=1.5 vminpu=0.92</v>
      </c>
      <c r="G108" t="s">
        <v>290</v>
      </c>
      <c r="H108" t="s">
        <v>291</v>
      </c>
      <c r="I108" s="4" t="str">
        <f t="shared" si="6"/>
        <v>m2_trf_5537656a</v>
      </c>
      <c r="J108" t="s">
        <v>292</v>
      </c>
      <c r="K108" t="s">
        <v>293</v>
      </c>
      <c r="L108" t="str">
        <f t="shared" si="7"/>
        <v>89813615537656</v>
      </c>
      <c r="M108" t="s">
        <v>294</v>
      </c>
      <c r="N108" t="s">
        <v>295</v>
      </c>
      <c r="O108" t="s">
        <v>296</v>
      </c>
      <c r="P108" t="s">
        <v>297</v>
      </c>
      <c r="Q108" t="s">
        <v>298</v>
      </c>
      <c r="R108" t="s">
        <v>299</v>
      </c>
      <c r="S108" s="4">
        <f t="shared" si="8"/>
        <v>16.892759270217901</v>
      </c>
      <c r="T108" t="s">
        <v>300</v>
      </c>
      <c r="U108" s="4">
        <f t="shared" si="9"/>
        <v>6.9350228251887502</v>
      </c>
      <c r="V108" t="s">
        <v>301</v>
      </c>
      <c r="W108" t="s">
        <v>302</v>
      </c>
      <c r="X108" t="s">
        <v>303</v>
      </c>
      <c r="Y108" t="s">
        <v>304</v>
      </c>
    </row>
    <row r="109" spans="1:25" x14ac:dyDescent="0.25">
      <c r="A109" t="s">
        <v>108</v>
      </c>
      <c r="B109">
        <v>18.110769138430001</v>
      </c>
      <c r="C109">
        <v>7.70120441196946</v>
      </c>
      <c r="D109" s="2" t="s">
        <v>252</v>
      </c>
      <c r="F109" s="5" t="str">
        <f t="shared" si="5"/>
        <v>New "Load.M2_m2_trf_5547722a" bus1="90017985547722.1.2.3.4" phases=3 conn=Wye model=3 kv=0.380 kw=18,11076913843 kvar=7,70120441196946 daily="RES-Tipo3_DU" status=variable vmaxpu=1.5 vminpu=0.92</v>
      </c>
      <c r="G109" t="s">
        <v>290</v>
      </c>
      <c r="H109" t="s">
        <v>291</v>
      </c>
      <c r="I109" s="4" t="str">
        <f t="shared" si="6"/>
        <v>m2_trf_5547722a</v>
      </c>
      <c r="J109" t="s">
        <v>292</v>
      </c>
      <c r="K109" t="s">
        <v>293</v>
      </c>
      <c r="L109" t="str">
        <f t="shared" si="7"/>
        <v>90017985547722</v>
      </c>
      <c r="M109" t="s">
        <v>294</v>
      </c>
      <c r="N109" t="s">
        <v>295</v>
      </c>
      <c r="O109" t="s">
        <v>296</v>
      </c>
      <c r="P109" t="s">
        <v>297</v>
      </c>
      <c r="Q109" t="s">
        <v>298</v>
      </c>
      <c r="R109" t="s">
        <v>299</v>
      </c>
      <c r="S109" s="4">
        <f t="shared" si="8"/>
        <v>18.110769138430001</v>
      </c>
      <c r="T109" t="s">
        <v>300</v>
      </c>
      <c r="U109" s="4">
        <f t="shared" si="9"/>
        <v>7.70120441196946</v>
      </c>
      <c r="V109" t="s">
        <v>301</v>
      </c>
      <c r="W109" t="s">
        <v>302</v>
      </c>
      <c r="X109" t="s">
        <v>303</v>
      </c>
      <c r="Y109" t="s">
        <v>304</v>
      </c>
    </row>
    <row r="110" spans="1:25" x14ac:dyDescent="0.25">
      <c r="A110" t="s">
        <v>109</v>
      </c>
      <c r="B110">
        <v>24.423025557339599</v>
      </c>
      <c r="C110">
        <v>10.0426072736071</v>
      </c>
      <c r="D110" s="2" t="s">
        <v>253</v>
      </c>
      <c r="F110" s="5" t="str">
        <f t="shared" si="5"/>
        <v>New "Load.M2_m2_trf_5551754a" bus1="82061675551754.1.2.3.4" phases=3 conn=Wye model=3 kv=0.380 kw=24,4230255573396 kvar=10,0426072736071 daily="RES-Tipo3_DU" status=variable vmaxpu=1.5 vminpu=0.92</v>
      </c>
      <c r="G110" t="s">
        <v>290</v>
      </c>
      <c r="H110" t="s">
        <v>291</v>
      </c>
      <c r="I110" s="4" t="str">
        <f t="shared" si="6"/>
        <v>m2_trf_5551754a</v>
      </c>
      <c r="J110" t="s">
        <v>292</v>
      </c>
      <c r="K110" t="s">
        <v>293</v>
      </c>
      <c r="L110" t="str">
        <f t="shared" si="7"/>
        <v>82061675551754</v>
      </c>
      <c r="M110" t="s">
        <v>294</v>
      </c>
      <c r="N110" t="s">
        <v>295</v>
      </c>
      <c r="O110" t="s">
        <v>296</v>
      </c>
      <c r="P110" t="s">
        <v>297</v>
      </c>
      <c r="Q110" t="s">
        <v>298</v>
      </c>
      <c r="R110" t="s">
        <v>299</v>
      </c>
      <c r="S110" s="4">
        <f t="shared" si="8"/>
        <v>24.423025557339599</v>
      </c>
      <c r="T110" t="s">
        <v>300</v>
      </c>
      <c r="U110" s="4">
        <f t="shared" si="9"/>
        <v>10.0426072736071</v>
      </c>
      <c r="V110" t="s">
        <v>301</v>
      </c>
      <c r="W110" t="s">
        <v>302</v>
      </c>
      <c r="X110" t="s">
        <v>303</v>
      </c>
      <c r="Y110" t="s">
        <v>304</v>
      </c>
    </row>
    <row r="111" spans="1:25" x14ac:dyDescent="0.25">
      <c r="A111" t="s">
        <v>110</v>
      </c>
      <c r="B111">
        <v>36.2234173093469</v>
      </c>
      <c r="C111">
        <v>15.1540063895971</v>
      </c>
      <c r="D111" s="2" t="s">
        <v>254</v>
      </c>
      <c r="F111" s="5" t="str">
        <f t="shared" si="5"/>
        <v>New "Load.M2_m2_trf_5552038a" bus1="90190165552038.1.2.3.4" phases=3 conn=Wye model=3 kv=0.380 kw=36,2234173093469 kvar=15,1540063895971 daily="RES-Tipo3_DU" status=variable vmaxpu=1.5 vminpu=0.92</v>
      </c>
      <c r="G111" t="s">
        <v>290</v>
      </c>
      <c r="H111" t="s">
        <v>291</v>
      </c>
      <c r="I111" s="4" t="str">
        <f t="shared" si="6"/>
        <v>m2_trf_5552038a</v>
      </c>
      <c r="J111" t="s">
        <v>292</v>
      </c>
      <c r="K111" t="s">
        <v>293</v>
      </c>
      <c r="L111" t="str">
        <f t="shared" si="7"/>
        <v>90190165552038</v>
      </c>
      <c r="M111" t="s">
        <v>294</v>
      </c>
      <c r="N111" t="s">
        <v>295</v>
      </c>
      <c r="O111" t="s">
        <v>296</v>
      </c>
      <c r="P111" t="s">
        <v>297</v>
      </c>
      <c r="Q111" t="s">
        <v>298</v>
      </c>
      <c r="R111" t="s">
        <v>299</v>
      </c>
      <c r="S111" s="4">
        <f t="shared" si="8"/>
        <v>36.2234173093469</v>
      </c>
      <c r="T111" t="s">
        <v>300</v>
      </c>
      <c r="U111" s="4">
        <f t="shared" si="9"/>
        <v>15.1540063895971</v>
      </c>
      <c r="V111" t="s">
        <v>301</v>
      </c>
      <c r="W111" t="s">
        <v>302</v>
      </c>
      <c r="X111" t="s">
        <v>303</v>
      </c>
      <c r="Y111" t="s">
        <v>304</v>
      </c>
    </row>
    <row r="112" spans="1:25" x14ac:dyDescent="0.25">
      <c r="A112" t="s">
        <v>111</v>
      </c>
      <c r="B112">
        <v>28.489554444869501</v>
      </c>
      <c r="C112">
        <v>11.7834505482511</v>
      </c>
      <c r="D112" s="2" t="s">
        <v>255</v>
      </c>
      <c r="F112" s="5" t="str">
        <f t="shared" si="5"/>
        <v>New "Load.M2_m2_trf_5552309a" bus1="82024125552309.1.2.3.4" phases=3 conn=Wye model=3 kv=0.380 kw=28,4895544448695 kvar=11,7834505482511 daily="RES-Tipo3_DU" status=variable vmaxpu=1.5 vminpu=0.92</v>
      </c>
      <c r="G112" t="s">
        <v>290</v>
      </c>
      <c r="H112" t="s">
        <v>291</v>
      </c>
      <c r="I112" s="4" t="str">
        <f t="shared" si="6"/>
        <v>m2_trf_5552309a</v>
      </c>
      <c r="J112" t="s">
        <v>292</v>
      </c>
      <c r="K112" t="s">
        <v>293</v>
      </c>
      <c r="L112" t="str">
        <f t="shared" si="7"/>
        <v>82024125552309</v>
      </c>
      <c r="M112" t="s">
        <v>294</v>
      </c>
      <c r="N112" t="s">
        <v>295</v>
      </c>
      <c r="O112" t="s">
        <v>296</v>
      </c>
      <c r="P112" t="s">
        <v>297</v>
      </c>
      <c r="Q112" t="s">
        <v>298</v>
      </c>
      <c r="R112" t="s">
        <v>299</v>
      </c>
      <c r="S112" s="4">
        <f t="shared" si="8"/>
        <v>28.489554444869501</v>
      </c>
      <c r="T112" t="s">
        <v>300</v>
      </c>
      <c r="U112" s="4">
        <f t="shared" si="9"/>
        <v>11.7834505482511</v>
      </c>
      <c r="V112" t="s">
        <v>301</v>
      </c>
      <c r="W112" t="s">
        <v>302</v>
      </c>
      <c r="X112" t="s">
        <v>303</v>
      </c>
      <c r="Y112" t="s">
        <v>304</v>
      </c>
    </row>
    <row r="113" spans="1:25" x14ac:dyDescent="0.25">
      <c r="A113" t="s">
        <v>112</v>
      </c>
      <c r="B113">
        <v>8.5440754935843</v>
      </c>
      <c r="C113">
        <v>3.5359017442329099</v>
      </c>
      <c r="D113" s="2" t="s">
        <v>256</v>
      </c>
      <c r="F113" s="5" t="str">
        <f t="shared" si="5"/>
        <v>New "Load.M2_m2_trf_5552553a" bus1="90214315552553.1.2.3.4" phases=3 conn=Wye model=3 kv=0.380 kw=8,5440754935843 kvar=3,53590174423291 daily="RES-Tipo3_DU" status=variable vmaxpu=1.5 vminpu=0.92</v>
      </c>
      <c r="G113" t="s">
        <v>290</v>
      </c>
      <c r="H113" t="s">
        <v>291</v>
      </c>
      <c r="I113" s="4" t="str">
        <f t="shared" si="6"/>
        <v>m2_trf_5552553a</v>
      </c>
      <c r="J113" t="s">
        <v>292</v>
      </c>
      <c r="K113" t="s">
        <v>293</v>
      </c>
      <c r="L113" t="str">
        <f t="shared" si="7"/>
        <v>90214315552553</v>
      </c>
      <c r="M113" t="s">
        <v>294</v>
      </c>
      <c r="N113" t="s">
        <v>295</v>
      </c>
      <c r="O113" t="s">
        <v>296</v>
      </c>
      <c r="P113" t="s">
        <v>297</v>
      </c>
      <c r="Q113" t="s">
        <v>298</v>
      </c>
      <c r="R113" t="s">
        <v>299</v>
      </c>
      <c r="S113" s="4">
        <f t="shared" si="8"/>
        <v>8.5440754935843</v>
      </c>
      <c r="T113" t="s">
        <v>300</v>
      </c>
      <c r="U113" s="4">
        <f t="shared" si="9"/>
        <v>3.5359017442329099</v>
      </c>
      <c r="V113" t="s">
        <v>301</v>
      </c>
      <c r="W113" t="s">
        <v>302</v>
      </c>
      <c r="X113" t="s">
        <v>303</v>
      </c>
      <c r="Y113" t="s">
        <v>304</v>
      </c>
    </row>
    <row r="114" spans="1:25" x14ac:dyDescent="0.25">
      <c r="A114" t="s">
        <v>113</v>
      </c>
      <c r="B114">
        <v>78.3294064635176</v>
      </c>
      <c r="C114">
        <v>31.797245613752001</v>
      </c>
      <c r="D114" s="2" t="s">
        <v>257</v>
      </c>
      <c r="F114" s="5" t="str">
        <f t="shared" si="5"/>
        <v>New "Load.M2_m2_trf_5552819a" bus1="82032765552819.1.2.3.4" phases=3 conn=Wye model=3 kv=0.380 kw=78,3294064635176 kvar=31,797245613752 daily="RES-Tipo3_DU" status=variable vmaxpu=1.5 vminpu=0.92</v>
      </c>
      <c r="G114" t="s">
        <v>290</v>
      </c>
      <c r="H114" t="s">
        <v>291</v>
      </c>
      <c r="I114" s="4" t="str">
        <f t="shared" si="6"/>
        <v>m2_trf_5552819a</v>
      </c>
      <c r="J114" t="s">
        <v>292</v>
      </c>
      <c r="K114" t="s">
        <v>293</v>
      </c>
      <c r="L114" t="str">
        <f t="shared" si="7"/>
        <v>82032765552819</v>
      </c>
      <c r="M114" t="s">
        <v>294</v>
      </c>
      <c r="N114" t="s">
        <v>295</v>
      </c>
      <c r="O114" t="s">
        <v>296</v>
      </c>
      <c r="P114" t="s">
        <v>297</v>
      </c>
      <c r="Q114" t="s">
        <v>298</v>
      </c>
      <c r="R114" t="s">
        <v>299</v>
      </c>
      <c r="S114" s="4">
        <f t="shared" si="8"/>
        <v>78.3294064635176</v>
      </c>
      <c r="T114" t="s">
        <v>300</v>
      </c>
      <c r="U114" s="4">
        <f t="shared" si="9"/>
        <v>31.797245613752001</v>
      </c>
      <c r="V114" t="s">
        <v>301</v>
      </c>
      <c r="W114" t="s">
        <v>302</v>
      </c>
      <c r="X114" t="s">
        <v>303</v>
      </c>
      <c r="Y114" t="s">
        <v>304</v>
      </c>
    </row>
    <row r="115" spans="1:25" x14ac:dyDescent="0.25">
      <c r="A115" t="s">
        <v>114</v>
      </c>
      <c r="B115">
        <v>37.146146206684897</v>
      </c>
      <c r="C115">
        <v>15.1409309366441</v>
      </c>
      <c r="D115" s="2" t="s">
        <v>258</v>
      </c>
      <c r="F115" s="5" t="str">
        <f t="shared" si="5"/>
        <v>New "Load.M2_m2_trf_5569878a" bus1="82055955569878.1.2.3.4" phases=3 conn=Wye model=3 kv=0.380 kw=37,1461462066849 kvar=15,1409309366441 daily="RES-Tipo3_DU" status=variable vmaxpu=1.5 vminpu=0.92</v>
      </c>
      <c r="G115" t="s">
        <v>290</v>
      </c>
      <c r="H115" t="s">
        <v>291</v>
      </c>
      <c r="I115" s="4" t="str">
        <f t="shared" si="6"/>
        <v>m2_trf_5569878a</v>
      </c>
      <c r="J115" t="s">
        <v>292</v>
      </c>
      <c r="K115" t="s">
        <v>293</v>
      </c>
      <c r="L115" t="str">
        <f t="shared" si="7"/>
        <v>82055955569878</v>
      </c>
      <c r="M115" t="s">
        <v>294</v>
      </c>
      <c r="N115" t="s">
        <v>295</v>
      </c>
      <c r="O115" t="s">
        <v>296</v>
      </c>
      <c r="P115" t="s">
        <v>297</v>
      </c>
      <c r="Q115" t="s">
        <v>298</v>
      </c>
      <c r="R115" t="s">
        <v>299</v>
      </c>
      <c r="S115" s="4">
        <f t="shared" si="8"/>
        <v>37.146146206684897</v>
      </c>
      <c r="T115" t="s">
        <v>300</v>
      </c>
      <c r="U115" s="4">
        <f t="shared" si="9"/>
        <v>15.1409309366441</v>
      </c>
      <c r="V115" t="s">
        <v>301</v>
      </c>
      <c r="W115" t="s">
        <v>302</v>
      </c>
      <c r="X115" t="s">
        <v>303</v>
      </c>
      <c r="Y115" t="s">
        <v>304</v>
      </c>
    </row>
    <row r="116" spans="1:25" x14ac:dyDescent="0.25">
      <c r="A116" t="s">
        <v>115</v>
      </c>
      <c r="B116">
        <v>12.7905177764678</v>
      </c>
      <c r="C116">
        <v>5.4771408897599896</v>
      </c>
      <c r="D116" s="2" t="s">
        <v>259</v>
      </c>
      <c r="F116" s="5" t="str">
        <f t="shared" si="5"/>
        <v>New "Load.M2_m2_trf_5555964a" bus1="90305705555964.1.2.3.4" phases=3 conn=Wye model=3 kv=0.380 kw=12,7905177764678 kvar=5,47714088975999 daily="RES-Tipo3_DU" status=variable vmaxpu=1.5 vminpu=0.92</v>
      </c>
      <c r="G116" t="s">
        <v>290</v>
      </c>
      <c r="H116" t="s">
        <v>291</v>
      </c>
      <c r="I116" s="4" t="str">
        <f t="shared" si="6"/>
        <v>m2_trf_5555964a</v>
      </c>
      <c r="J116" t="s">
        <v>292</v>
      </c>
      <c r="K116" t="s">
        <v>293</v>
      </c>
      <c r="L116" t="str">
        <f t="shared" si="7"/>
        <v>90305705555964</v>
      </c>
      <c r="M116" t="s">
        <v>294</v>
      </c>
      <c r="N116" t="s">
        <v>295</v>
      </c>
      <c r="O116" t="s">
        <v>296</v>
      </c>
      <c r="P116" t="s">
        <v>297</v>
      </c>
      <c r="Q116" t="s">
        <v>298</v>
      </c>
      <c r="R116" t="s">
        <v>299</v>
      </c>
      <c r="S116" s="4">
        <f t="shared" si="8"/>
        <v>12.7905177764678</v>
      </c>
      <c r="T116" t="s">
        <v>300</v>
      </c>
      <c r="U116" s="4">
        <f t="shared" si="9"/>
        <v>5.4771408897599896</v>
      </c>
      <c r="V116" t="s">
        <v>301</v>
      </c>
      <c r="W116" t="s">
        <v>302</v>
      </c>
      <c r="X116" t="s">
        <v>303</v>
      </c>
      <c r="Y116" t="s">
        <v>304</v>
      </c>
    </row>
    <row r="117" spans="1:25" x14ac:dyDescent="0.25">
      <c r="A117" t="s">
        <v>116</v>
      </c>
      <c r="B117">
        <v>40.523370297404398</v>
      </c>
      <c r="C117">
        <v>16.733925249517402</v>
      </c>
      <c r="D117" s="2" t="s">
        <v>260</v>
      </c>
      <c r="F117" s="5" t="str">
        <f t="shared" si="5"/>
        <v>New "Load.M2_m2_trf_5557353a" bus1="82044325557353.1.2.3.4" phases=3 conn=Wye model=3 kv=0.380 kw=40,5233702974044 kvar=16,7339252495174 daily="RES-Tipo3_DU" status=variable vmaxpu=1.5 vminpu=0.92</v>
      </c>
      <c r="G117" t="s">
        <v>290</v>
      </c>
      <c r="H117" t="s">
        <v>291</v>
      </c>
      <c r="I117" s="4" t="str">
        <f t="shared" si="6"/>
        <v>m2_trf_5557353a</v>
      </c>
      <c r="J117" t="s">
        <v>292</v>
      </c>
      <c r="K117" t="s">
        <v>293</v>
      </c>
      <c r="L117" t="str">
        <f t="shared" si="7"/>
        <v>82044325557353</v>
      </c>
      <c r="M117" t="s">
        <v>294</v>
      </c>
      <c r="N117" t="s">
        <v>295</v>
      </c>
      <c r="O117" t="s">
        <v>296</v>
      </c>
      <c r="P117" t="s">
        <v>297</v>
      </c>
      <c r="Q117" t="s">
        <v>298</v>
      </c>
      <c r="R117" t="s">
        <v>299</v>
      </c>
      <c r="S117" s="4">
        <f t="shared" si="8"/>
        <v>40.523370297404398</v>
      </c>
      <c r="T117" t="s">
        <v>300</v>
      </c>
      <c r="U117" s="4">
        <f t="shared" si="9"/>
        <v>16.733925249517402</v>
      </c>
      <c r="V117" t="s">
        <v>301</v>
      </c>
      <c r="W117" t="s">
        <v>302</v>
      </c>
      <c r="X117" t="s">
        <v>303</v>
      </c>
      <c r="Y117" t="s">
        <v>304</v>
      </c>
    </row>
    <row r="118" spans="1:25" x14ac:dyDescent="0.25">
      <c r="A118" t="s">
        <v>117</v>
      </c>
      <c r="B118">
        <v>27.489009099459899</v>
      </c>
      <c r="C118">
        <v>11.3204635875338</v>
      </c>
      <c r="D118" s="2" t="s">
        <v>261</v>
      </c>
      <c r="F118" s="5" t="str">
        <f t="shared" si="5"/>
        <v>New "Load.M2_m2_trf_5558213a" bus1="90349975558213.1.2.3.4" phases=3 conn=Wye model=3 kv=0.380 kw=27,4890090994599 kvar=11,3204635875338 daily="RES-Tipo3_DU" status=variable vmaxpu=1.5 vminpu=0.92</v>
      </c>
      <c r="G118" t="s">
        <v>290</v>
      </c>
      <c r="H118" t="s">
        <v>291</v>
      </c>
      <c r="I118" s="4" t="str">
        <f t="shared" si="6"/>
        <v>m2_trf_5558213a</v>
      </c>
      <c r="J118" t="s">
        <v>292</v>
      </c>
      <c r="K118" t="s">
        <v>293</v>
      </c>
      <c r="L118" t="str">
        <f t="shared" si="7"/>
        <v>90349975558213</v>
      </c>
      <c r="M118" t="s">
        <v>294</v>
      </c>
      <c r="N118" t="s">
        <v>295</v>
      </c>
      <c r="O118" t="s">
        <v>296</v>
      </c>
      <c r="P118" t="s">
        <v>297</v>
      </c>
      <c r="Q118" t="s">
        <v>298</v>
      </c>
      <c r="R118" t="s">
        <v>299</v>
      </c>
      <c r="S118" s="4">
        <f t="shared" si="8"/>
        <v>27.489009099459899</v>
      </c>
      <c r="T118" t="s">
        <v>300</v>
      </c>
      <c r="U118" s="4">
        <f t="shared" si="9"/>
        <v>11.3204635875338</v>
      </c>
      <c r="V118" t="s">
        <v>301</v>
      </c>
      <c r="W118" t="s">
        <v>302</v>
      </c>
      <c r="X118" t="s">
        <v>303</v>
      </c>
      <c r="Y118" t="s">
        <v>304</v>
      </c>
    </row>
    <row r="119" spans="1:25" x14ac:dyDescent="0.25">
      <c r="A119" t="s">
        <v>118</v>
      </c>
      <c r="B119">
        <v>31.413371417776101</v>
      </c>
      <c r="C119">
        <v>12.969869675341601</v>
      </c>
      <c r="D119" s="2" t="s">
        <v>262</v>
      </c>
      <c r="F119" s="5" t="str">
        <f t="shared" si="5"/>
        <v>New "Load.M2_m2_trf_5560489a" bus1="90409505560489.1.2.3.4" phases=3 conn=Wye model=3 kv=0.380 kw=31,4133714177761 kvar=12,9698696753416 daily="RES-Tipo3_DU" status=variable vmaxpu=1.5 vminpu=0.92</v>
      </c>
      <c r="G119" t="s">
        <v>290</v>
      </c>
      <c r="H119" t="s">
        <v>291</v>
      </c>
      <c r="I119" s="4" t="str">
        <f t="shared" si="6"/>
        <v>m2_trf_5560489a</v>
      </c>
      <c r="J119" t="s">
        <v>292</v>
      </c>
      <c r="K119" t="s">
        <v>293</v>
      </c>
      <c r="L119" t="str">
        <f t="shared" si="7"/>
        <v>90409505560489</v>
      </c>
      <c r="M119" t="s">
        <v>294</v>
      </c>
      <c r="N119" t="s">
        <v>295</v>
      </c>
      <c r="O119" t="s">
        <v>296</v>
      </c>
      <c r="P119" t="s">
        <v>297</v>
      </c>
      <c r="Q119" t="s">
        <v>298</v>
      </c>
      <c r="R119" t="s">
        <v>299</v>
      </c>
      <c r="S119" s="4">
        <f t="shared" si="8"/>
        <v>31.413371417776101</v>
      </c>
      <c r="T119" t="s">
        <v>300</v>
      </c>
      <c r="U119" s="4">
        <f t="shared" si="9"/>
        <v>12.969869675341601</v>
      </c>
      <c r="V119" t="s">
        <v>301</v>
      </c>
      <c r="W119" t="s">
        <v>302</v>
      </c>
      <c r="X119" t="s">
        <v>303</v>
      </c>
      <c r="Y119" t="s">
        <v>304</v>
      </c>
    </row>
    <row r="120" spans="1:25" x14ac:dyDescent="0.25">
      <c r="A120" t="s">
        <v>119</v>
      </c>
      <c r="B120">
        <v>33.179281645494797</v>
      </c>
      <c r="C120">
        <v>13.599891199991999</v>
      </c>
      <c r="D120" s="2" t="s">
        <v>263</v>
      </c>
      <c r="F120" s="5" t="str">
        <f t="shared" si="5"/>
        <v>New "Load.M2_m2_trf_5574596a" bus1="82031945574596.1.2.3.4" phases=3 conn=Wye model=3 kv=0.380 kw=33,1792816454948 kvar=13,599891199992 daily="RES-Tipo3_DU" status=variable vmaxpu=1.5 vminpu=0.92</v>
      </c>
      <c r="G120" t="s">
        <v>290</v>
      </c>
      <c r="H120" t="s">
        <v>291</v>
      </c>
      <c r="I120" s="4" t="str">
        <f t="shared" si="6"/>
        <v>m2_trf_5574596a</v>
      </c>
      <c r="J120" t="s">
        <v>292</v>
      </c>
      <c r="K120" t="s">
        <v>293</v>
      </c>
      <c r="L120" t="str">
        <f t="shared" si="7"/>
        <v>82031945574596</v>
      </c>
      <c r="M120" t="s">
        <v>294</v>
      </c>
      <c r="N120" t="s">
        <v>295</v>
      </c>
      <c r="O120" t="s">
        <v>296</v>
      </c>
      <c r="P120" t="s">
        <v>297</v>
      </c>
      <c r="Q120" t="s">
        <v>298</v>
      </c>
      <c r="R120" t="s">
        <v>299</v>
      </c>
      <c r="S120" s="4">
        <f t="shared" si="8"/>
        <v>33.179281645494797</v>
      </c>
      <c r="T120" t="s">
        <v>300</v>
      </c>
      <c r="U120" s="4">
        <f t="shared" si="9"/>
        <v>13.599891199991999</v>
      </c>
      <c r="V120" t="s">
        <v>301</v>
      </c>
      <c r="W120" t="s">
        <v>302</v>
      </c>
      <c r="X120" t="s">
        <v>303</v>
      </c>
      <c r="Y120" t="s">
        <v>304</v>
      </c>
    </row>
    <row r="121" spans="1:25" x14ac:dyDescent="0.25">
      <c r="A121" t="s">
        <v>120</v>
      </c>
      <c r="B121">
        <v>27.177292111814101</v>
      </c>
      <c r="C121">
        <v>11.142821792827499</v>
      </c>
      <c r="D121" s="2" t="s">
        <v>264</v>
      </c>
      <c r="F121" s="5" t="str">
        <f t="shared" si="5"/>
        <v>New "Load.M2_m2_trf_5577671a" bus1="90938795577671.1.2.3.4" phases=3 conn=Wye model=3 kv=0.380 kw=27,1772921118141 kvar=11,1428217928275 daily="RES-Tipo3_DU" status=variable vmaxpu=1.5 vminpu=0.92</v>
      </c>
      <c r="G121" t="s">
        <v>290</v>
      </c>
      <c r="H121" t="s">
        <v>291</v>
      </c>
      <c r="I121" s="4" t="str">
        <f t="shared" si="6"/>
        <v>m2_trf_5577671a</v>
      </c>
      <c r="J121" t="s">
        <v>292</v>
      </c>
      <c r="K121" t="s">
        <v>293</v>
      </c>
      <c r="L121" t="str">
        <f t="shared" si="7"/>
        <v>90938795577671</v>
      </c>
      <c r="M121" t="s">
        <v>294</v>
      </c>
      <c r="N121" t="s">
        <v>295</v>
      </c>
      <c r="O121" t="s">
        <v>296</v>
      </c>
      <c r="P121" t="s">
        <v>297</v>
      </c>
      <c r="Q121" t="s">
        <v>298</v>
      </c>
      <c r="R121" t="s">
        <v>299</v>
      </c>
      <c r="S121" s="4">
        <f t="shared" si="8"/>
        <v>27.177292111814101</v>
      </c>
      <c r="T121" t="s">
        <v>300</v>
      </c>
      <c r="U121" s="4">
        <f t="shared" si="9"/>
        <v>11.142821792827499</v>
      </c>
      <c r="V121" t="s">
        <v>301</v>
      </c>
      <c r="W121" t="s">
        <v>302</v>
      </c>
      <c r="X121" t="s">
        <v>303</v>
      </c>
      <c r="Y121" t="s">
        <v>304</v>
      </c>
    </row>
    <row r="122" spans="1:25" x14ac:dyDescent="0.25">
      <c r="A122" t="s">
        <v>121</v>
      </c>
      <c r="B122">
        <v>16.9247890020665</v>
      </c>
      <c r="C122">
        <v>6.9426114116375004</v>
      </c>
      <c r="D122" s="2" t="s">
        <v>265</v>
      </c>
      <c r="F122" s="5" t="str">
        <f t="shared" si="5"/>
        <v>New "Load.M2_m2_trf_5286947a" bus1="82040855286947.1.2.3.4" phases=3 conn=Wye model=3 kv=0.380 kw=16,9247890020665 kvar=6,9426114116375 daily="RES-Tipo3_DU" status=variable vmaxpu=1.5 vminpu=0.92</v>
      </c>
      <c r="G122" t="s">
        <v>290</v>
      </c>
      <c r="H122" t="s">
        <v>291</v>
      </c>
      <c r="I122" s="4" t="str">
        <f t="shared" si="6"/>
        <v>m2_trf_5286947a</v>
      </c>
      <c r="J122" t="s">
        <v>292</v>
      </c>
      <c r="K122" t="s">
        <v>293</v>
      </c>
      <c r="L122" t="str">
        <f t="shared" si="7"/>
        <v>82040855286947</v>
      </c>
      <c r="M122" t="s">
        <v>294</v>
      </c>
      <c r="N122" t="s">
        <v>295</v>
      </c>
      <c r="O122" t="s">
        <v>296</v>
      </c>
      <c r="P122" t="s">
        <v>297</v>
      </c>
      <c r="Q122" t="s">
        <v>298</v>
      </c>
      <c r="R122" t="s">
        <v>299</v>
      </c>
      <c r="S122" s="4">
        <f t="shared" si="8"/>
        <v>16.9247890020665</v>
      </c>
      <c r="T122" t="s">
        <v>300</v>
      </c>
      <c r="U122" s="4">
        <f t="shared" si="9"/>
        <v>6.9426114116375004</v>
      </c>
      <c r="V122" t="s">
        <v>301</v>
      </c>
      <c r="W122" t="s">
        <v>302</v>
      </c>
      <c r="X122" t="s">
        <v>303</v>
      </c>
      <c r="Y122" t="s">
        <v>304</v>
      </c>
    </row>
    <row r="123" spans="1:25" x14ac:dyDescent="0.25">
      <c r="A123" t="s">
        <v>122</v>
      </c>
      <c r="B123">
        <v>50.046862841578502</v>
      </c>
      <c r="C123">
        <v>20.571609151076</v>
      </c>
      <c r="D123" s="2" t="s">
        <v>266</v>
      </c>
      <c r="F123" s="5" t="str">
        <f t="shared" si="5"/>
        <v>New "Load.M2_m2_trf_5286958a" bus1="82031405286958.1.2.3.4" phases=3 conn=Wye model=3 kv=0.380 kw=50,0468628415785 kvar=20,571609151076 daily="RES-Tipo3_DU" status=variable vmaxpu=1.5 vminpu=0.92</v>
      </c>
      <c r="G123" t="s">
        <v>290</v>
      </c>
      <c r="H123" t="s">
        <v>291</v>
      </c>
      <c r="I123" s="4" t="str">
        <f t="shared" si="6"/>
        <v>m2_trf_5286958a</v>
      </c>
      <c r="J123" t="s">
        <v>292</v>
      </c>
      <c r="K123" t="s">
        <v>293</v>
      </c>
      <c r="L123" t="str">
        <f t="shared" si="7"/>
        <v>82031405286958</v>
      </c>
      <c r="M123" t="s">
        <v>294</v>
      </c>
      <c r="N123" t="s">
        <v>295</v>
      </c>
      <c r="O123" t="s">
        <v>296</v>
      </c>
      <c r="P123" t="s">
        <v>297</v>
      </c>
      <c r="Q123" t="s">
        <v>298</v>
      </c>
      <c r="R123" t="s">
        <v>299</v>
      </c>
      <c r="S123" s="4">
        <f t="shared" si="8"/>
        <v>50.046862841578502</v>
      </c>
      <c r="T123" t="s">
        <v>300</v>
      </c>
      <c r="U123" s="4">
        <f t="shared" si="9"/>
        <v>20.571609151076</v>
      </c>
      <c r="V123" t="s">
        <v>301</v>
      </c>
      <c r="W123" t="s">
        <v>302</v>
      </c>
      <c r="X123" t="s">
        <v>303</v>
      </c>
      <c r="Y123" t="s">
        <v>304</v>
      </c>
    </row>
    <row r="124" spans="1:25" x14ac:dyDescent="0.25">
      <c r="A124" t="s">
        <v>123</v>
      </c>
      <c r="B124">
        <v>62.650663228101699</v>
      </c>
      <c r="C124">
        <v>26.119561453188201</v>
      </c>
      <c r="D124" s="2" t="s">
        <v>267</v>
      </c>
      <c r="F124" s="5" t="str">
        <f t="shared" si="5"/>
        <v>New "Load.M2_m2_trf_5286959a" bus1="82031445286959.1.2.3.4" phases=3 conn=Wye model=3 kv=0.380 kw=62,6506632281017 kvar=26,1195614531882 daily="RES-Tipo3_DU" status=variable vmaxpu=1.5 vminpu=0.92</v>
      </c>
      <c r="G124" t="s">
        <v>290</v>
      </c>
      <c r="H124" t="s">
        <v>291</v>
      </c>
      <c r="I124" s="4" t="str">
        <f t="shared" si="6"/>
        <v>m2_trf_5286959a</v>
      </c>
      <c r="J124" t="s">
        <v>292</v>
      </c>
      <c r="K124" t="s">
        <v>293</v>
      </c>
      <c r="L124" t="str">
        <f t="shared" si="7"/>
        <v>82031445286959</v>
      </c>
      <c r="M124" t="s">
        <v>294</v>
      </c>
      <c r="N124" t="s">
        <v>295</v>
      </c>
      <c r="O124" t="s">
        <v>296</v>
      </c>
      <c r="P124" t="s">
        <v>297</v>
      </c>
      <c r="Q124" t="s">
        <v>298</v>
      </c>
      <c r="R124" t="s">
        <v>299</v>
      </c>
      <c r="S124" s="4">
        <f t="shared" si="8"/>
        <v>62.650663228101699</v>
      </c>
      <c r="T124" t="s">
        <v>300</v>
      </c>
      <c r="U124" s="4">
        <f t="shared" si="9"/>
        <v>26.119561453188201</v>
      </c>
      <c r="V124" t="s">
        <v>301</v>
      </c>
      <c r="W124" t="s">
        <v>302</v>
      </c>
      <c r="X124" t="s">
        <v>303</v>
      </c>
      <c r="Y124" t="s">
        <v>304</v>
      </c>
    </row>
    <row r="125" spans="1:25" x14ac:dyDescent="0.25">
      <c r="A125" t="s">
        <v>124</v>
      </c>
      <c r="B125">
        <v>45.0856006484345</v>
      </c>
      <c r="C125">
        <v>18.212460220765401</v>
      </c>
      <c r="D125" s="2" t="s">
        <v>268</v>
      </c>
      <c r="F125" s="5" t="str">
        <f t="shared" si="5"/>
        <v>New "Load.M2_m2_trf_5286960a" bus1="82033945286960.1.2.3.4" phases=3 conn=Wye model=3 kv=0.380 kw=45,0856006484345 kvar=18,2124602207654 daily="RES-Tipo3_DU" status=variable vmaxpu=1.5 vminpu=0.92</v>
      </c>
      <c r="G125" t="s">
        <v>290</v>
      </c>
      <c r="H125" t="s">
        <v>291</v>
      </c>
      <c r="I125" s="4" t="str">
        <f t="shared" si="6"/>
        <v>m2_trf_5286960a</v>
      </c>
      <c r="J125" t="s">
        <v>292</v>
      </c>
      <c r="K125" t="s">
        <v>293</v>
      </c>
      <c r="L125" t="str">
        <f t="shared" si="7"/>
        <v>82033945286960</v>
      </c>
      <c r="M125" t="s">
        <v>294</v>
      </c>
      <c r="N125" t="s">
        <v>295</v>
      </c>
      <c r="O125" t="s">
        <v>296</v>
      </c>
      <c r="P125" t="s">
        <v>297</v>
      </c>
      <c r="Q125" t="s">
        <v>298</v>
      </c>
      <c r="R125" t="s">
        <v>299</v>
      </c>
      <c r="S125" s="4">
        <f t="shared" si="8"/>
        <v>45.0856006484345</v>
      </c>
      <c r="T125" t="s">
        <v>300</v>
      </c>
      <c r="U125" s="4">
        <f t="shared" si="9"/>
        <v>18.212460220765401</v>
      </c>
      <c r="V125" t="s">
        <v>301</v>
      </c>
      <c r="W125" t="s">
        <v>302</v>
      </c>
      <c r="X125" t="s">
        <v>303</v>
      </c>
      <c r="Y125" t="s">
        <v>304</v>
      </c>
    </row>
    <row r="126" spans="1:25" x14ac:dyDescent="0.25">
      <c r="A126" t="s">
        <v>125</v>
      </c>
      <c r="B126">
        <v>65.693038293862799</v>
      </c>
      <c r="C126">
        <v>27.044955393593501</v>
      </c>
      <c r="D126" s="2" t="s">
        <v>269</v>
      </c>
      <c r="F126" s="5" t="str">
        <f t="shared" si="5"/>
        <v>New "Load.M2_m2_trf_5286961a" bus1="97400945286961.1.2.3.4" phases=3 conn=Wye model=3 kv=0.380 kw=65,6930382938628 kvar=27,0449553935935 daily="RES-Tipo3_DU" status=variable vmaxpu=1.5 vminpu=0.92</v>
      </c>
      <c r="G126" t="s">
        <v>290</v>
      </c>
      <c r="H126" t="s">
        <v>291</v>
      </c>
      <c r="I126" s="4" t="str">
        <f t="shared" si="6"/>
        <v>m2_trf_5286961a</v>
      </c>
      <c r="J126" t="s">
        <v>292</v>
      </c>
      <c r="K126" t="s">
        <v>293</v>
      </c>
      <c r="L126" t="str">
        <f t="shared" si="7"/>
        <v>97400945286961</v>
      </c>
      <c r="M126" t="s">
        <v>294</v>
      </c>
      <c r="N126" t="s">
        <v>295</v>
      </c>
      <c r="O126" t="s">
        <v>296</v>
      </c>
      <c r="P126" t="s">
        <v>297</v>
      </c>
      <c r="Q126" t="s">
        <v>298</v>
      </c>
      <c r="R126" t="s">
        <v>299</v>
      </c>
      <c r="S126" s="4">
        <f t="shared" si="8"/>
        <v>65.693038293862799</v>
      </c>
      <c r="T126" t="s">
        <v>300</v>
      </c>
      <c r="U126" s="4">
        <f t="shared" si="9"/>
        <v>27.044955393593501</v>
      </c>
      <c r="V126" t="s">
        <v>301</v>
      </c>
      <c r="W126" t="s">
        <v>302</v>
      </c>
      <c r="X126" t="s">
        <v>303</v>
      </c>
      <c r="Y126" t="s">
        <v>304</v>
      </c>
    </row>
    <row r="127" spans="1:25" x14ac:dyDescent="0.25">
      <c r="A127" t="s">
        <v>126</v>
      </c>
      <c r="B127">
        <v>22.483756400688801</v>
      </c>
      <c r="C127">
        <v>9.25935732908167</v>
      </c>
      <c r="D127" s="2" t="s">
        <v>270</v>
      </c>
      <c r="F127" s="5" t="str">
        <f t="shared" si="5"/>
        <v>New "Load.M2_m2_trf_5286962a" bus1="82034445286962.1.2.3.4" phases=3 conn=Wye model=3 kv=0.380 kw=22,4837564006888 kvar=9,25935732908167 daily="RES-Tipo3_DU" status=variable vmaxpu=1.5 vminpu=0.92</v>
      </c>
      <c r="G127" t="s">
        <v>290</v>
      </c>
      <c r="H127" t="s">
        <v>291</v>
      </c>
      <c r="I127" s="4" t="str">
        <f t="shared" si="6"/>
        <v>m2_trf_5286962a</v>
      </c>
      <c r="J127" t="s">
        <v>292</v>
      </c>
      <c r="K127" t="s">
        <v>293</v>
      </c>
      <c r="L127" t="str">
        <f t="shared" si="7"/>
        <v>82034445286962</v>
      </c>
      <c r="M127" t="s">
        <v>294</v>
      </c>
      <c r="N127" t="s">
        <v>295</v>
      </c>
      <c r="O127" t="s">
        <v>296</v>
      </c>
      <c r="P127" t="s">
        <v>297</v>
      </c>
      <c r="Q127" t="s">
        <v>298</v>
      </c>
      <c r="R127" t="s">
        <v>299</v>
      </c>
      <c r="S127" s="4">
        <f t="shared" si="8"/>
        <v>22.483756400688801</v>
      </c>
      <c r="T127" t="s">
        <v>300</v>
      </c>
      <c r="U127" s="4">
        <f t="shared" si="9"/>
        <v>9.25935732908167</v>
      </c>
      <c r="V127" t="s">
        <v>301</v>
      </c>
      <c r="W127" t="s">
        <v>302</v>
      </c>
      <c r="X127" t="s">
        <v>303</v>
      </c>
      <c r="Y127" t="s">
        <v>304</v>
      </c>
    </row>
    <row r="128" spans="1:25" x14ac:dyDescent="0.25">
      <c r="A128" t="s">
        <v>127</v>
      </c>
      <c r="B128">
        <v>29.778865378311099</v>
      </c>
      <c r="C128">
        <v>12.198017401398699</v>
      </c>
      <c r="D128" s="2" t="s">
        <v>271</v>
      </c>
      <c r="F128" s="5" t="str">
        <f t="shared" si="5"/>
        <v>New "Load.M2_m2_trf_5286963a" bus1="82035255286963.1.2.3.4" phases=3 conn=Wye model=3 kv=0.380 kw=29,7788653783111 kvar=12,1980174013987 daily="RES-Tipo3_DU" status=variable vmaxpu=1.5 vminpu=0.92</v>
      </c>
      <c r="G128" t="s">
        <v>290</v>
      </c>
      <c r="H128" t="s">
        <v>291</v>
      </c>
      <c r="I128" s="4" t="str">
        <f t="shared" si="6"/>
        <v>m2_trf_5286963a</v>
      </c>
      <c r="J128" t="s">
        <v>292</v>
      </c>
      <c r="K128" t="s">
        <v>293</v>
      </c>
      <c r="L128" t="str">
        <f t="shared" si="7"/>
        <v>82035255286963</v>
      </c>
      <c r="M128" t="s">
        <v>294</v>
      </c>
      <c r="N128" t="s">
        <v>295</v>
      </c>
      <c r="O128" t="s">
        <v>296</v>
      </c>
      <c r="P128" t="s">
        <v>297</v>
      </c>
      <c r="Q128" t="s">
        <v>298</v>
      </c>
      <c r="R128" t="s">
        <v>299</v>
      </c>
      <c r="S128" s="4">
        <f t="shared" si="8"/>
        <v>29.778865378311099</v>
      </c>
      <c r="T128" t="s">
        <v>300</v>
      </c>
      <c r="U128" s="4">
        <f t="shared" si="9"/>
        <v>12.198017401398699</v>
      </c>
      <c r="V128" t="s">
        <v>301</v>
      </c>
      <c r="W128" t="s">
        <v>302</v>
      </c>
      <c r="X128" t="s">
        <v>303</v>
      </c>
      <c r="Y128" t="s">
        <v>304</v>
      </c>
    </row>
    <row r="129" spans="1:25" x14ac:dyDescent="0.25">
      <c r="A129" t="s">
        <v>128</v>
      </c>
      <c r="B129">
        <v>104.266786151826</v>
      </c>
      <c r="C129">
        <v>43.848109237241303</v>
      </c>
      <c r="D129" s="2" t="s">
        <v>272</v>
      </c>
      <c r="F129" s="5" t="str">
        <f t="shared" si="5"/>
        <v>New "Load.M2_m2_trf_5286964a" bus1="82036275286964.1.2.3.4" phases=3 conn=Wye model=3 kv=0.380 kw=104,266786151826 kvar=43,8481092372413 daily="RES-Tipo3_DU" status=variable vmaxpu=1.5 vminpu=0.92</v>
      </c>
      <c r="G129" t="s">
        <v>290</v>
      </c>
      <c r="H129" t="s">
        <v>291</v>
      </c>
      <c r="I129" s="4" t="str">
        <f t="shared" si="6"/>
        <v>m2_trf_5286964a</v>
      </c>
      <c r="J129" t="s">
        <v>292</v>
      </c>
      <c r="K129" t="s">
        <v>293</v>
      </c>
      <c r="L129" t="str">
        <f t="shared" si="7"/>
        <v>82036275286964</v>
      </c>
      <c r="M129" t="s">
        <v>294</v>
      </c>
      <c r="N129" t="s">
        <v>295</v>
      </c>
      <c r="O129" t="s">
        <v>296</v>
      </c>
      <c r="P129" t="s">
        <v>297</v>
      </c>
      <c r="Q129" t="s">
        <v>298</v>
      </c>
      <c r="R129" t="s">
        <v>299</v>
      </c>
      <c r="S129" s="4">
        <f t="shared" si="8"/>
        <v>104.266786151826</v>
      </c>
      <c r="T129" t="s">
        <v>300</v>
      </c>
      <c r="U129" s="4">
        <f t="shared" si="9"/>
        <v>43.848109237241303</v>
      </c>
      <c r="V129" t="s">
        <v>301</v>
      </c>
      <c r="W129" t="s">
        <v>302</v>
      </c>
      <c r="X129" t="s">
        <v>303</v>
      </c>
      <c r="Y129" t="s">
        <v>304</v>
      </c>
    </row>
    <row r="130" spans="1:25" x14ac:dyDescent="0.25">
      <c r="A130" t="s">
        <v>129</v>
      </c>
      <c r="B130">
        <v>52.613059388876103</v>
      </c>
      <c r="C130">
        <v>21.803951440936402</v>
      </c>
      <c r="D130" s="2" t="s">
        <v>273</v>
      </c>
      <c r="F130" s="5" t="str">
        <f t="shared" si="5"/>
        <v>New "Load.M2_m2_trf_5286965a" bus1="82035485286965.1.2.3.4" phases=3 conn=Wye model=3 kv=0.380 kw=52,6130593888761 kvar=21,8039514409364 daily="RES-Tipo3_DU" status=variable vmaxpu=1.5 vminpu=0.92</v>
      </c>
      <c r="G130" t="s">
        <v>290</v>
      </c>
      <c r="H130" t="s">
        <v>291</v>
      </c>
      <c r="I130" s="4" t="str">
        <f t="shared" si="6"/>
        <v>m2_trf_5286965a</v>
      </c>
      <c r="J130" t="s">
        <v>292</v>
      </c>
      <c r="K130" t="s">
        <v>293</v>
      </c>
      <c r="L130" t="str">
        <f t="shared" si="7"/>
        <v>82035485286965</v>
      </c>
      <c r="M130" t="s">
        <v>294</v>
      </c>
      <c r="N130" t="s">
        <v>295</v>
      </c>
      <c r="O130" t="s">
        <v>296</v>
      </c>
      <c r="P130" t="s">
        <v>297</v>
      </c>
      <c r="Q130" t="s">
        <v>298</v>
      </c>
      <c r="R130" t="s">
        <v>299</v>
      </c>
      <c r="S130" s="4">
        <f t="shared" si="8"/>
        <v>52.613059388876103</v>
      </c>
      <c r="T130" t="s">
        <v>300</v>
      </c>
      <c r="U130" s="4">
        <f t="shared" si="9"/>
        <v>21.803951440936402</v>
      </c>
      <c r="V130" t="s">
        <v>301</v>
      </c>
      <c r="W130" t="s">
        <v>302</v>
      </c>
      <c r="X130" t="s">
        <v>303</v>
      </c>
      <c r="Y130" t="s">
        <v>304</v>
      </c>
    </row>
    <row r="131" spans="1:25" x14ac:dyDescent="0.25">
      <c r="A131" t="s">
        <v>130</v>
      </c>
      <c r="B131">
        <v>46.6363060087169</v>
      </c>
      <c r="C131">
        <v>19.355094801378101</v>
      </c>
      <c r="D131" s="2" t="s">
        <v>274</v>
      </c>
      <c r="F131" s="5" t="str">
        <f t="shared" ref="F131:F144" si="10">_xlfn.CONCAT(G131:Y131)</f>
        <v>New "Load.M2_m2_trf_5286966a" bus1="82036045286966.1.2.3.4" phases=3 conn=Wye model=3 kv=0.380 kw=46,6363060087169 kvar=19,3550948013781 daily="RES-Tipo3_DU" status=variable vmaxpu=1.5 vminpu=0.92</v>
      </c>
      <c r="G131" t="s">
        <v>290</v>
      </c>
      <c r="H131" t="s">
        <v>291</v>
      </c>
      <c r="I131" s="4" t="str">
        <f t="shared" ref="I131:I144" si="11">A131</f>
        <v>m2_trf_5286966a</v>
      </c>
      <c r="J131" t="s">
        <v>292</v>
      </c>
      <c r="K131" t="s">
        <v>293</v>
      </c>
      <c r="L131" t="str">
        <f t="shared" ref="L131:L144" si="12">D131</f>
        <v>82036045286966</v>
      </c>
      <c r="M131" t="s">
        <v>294</v>
      </c>
      <c r="N131" t="s">
        <v>295</v>
      </c>
      <c r="O131" t="s">
        <v>296</v>
      </c>
      <c r="P131" t="s">
        <v>297</v>
      </c>
      <c r="Q131" t="s">
        <v>298</v>
      </c>
      <c r="R131" t="s">
        <v>299</v>
      </c>
      <c r="S131" s="4">
        <f t="shared" ref="S131:S144" si="13">B131</f>
        <v>46.6363060087169</v>
      </c>
      <c r="T131" t="s">
        <v>300</v>
      </c>
      <c r="U131" s="4">
        <f t="shared" ref="U131:U144" si="14">C131</f>
        <v>19.355094801378101</v>
      </c>
      <c r="V131" t="s">
        <v>301</v>
      </c>
      <c r="W131" t="s">
        <v>302</v>
      </c>
      <c r="X131" t="s">
        <v>303</v>
      </c>
      <c r="Y131" t="s">
        <v>304</v>
      </c>
    </row>
    <row r="132" spans="1:25" x14ac:dyDescent="0.25">
      <c r="A132" t="s">
        <v>131</v>
      </c>
      <c r="B132">
        <v>16.737051368106201</v>
      </c>
      <c r="C132">
        <v>6.8544397385898002</v>
      </c>
      <c r="D132" s="2" t="s">
        <v>275</v>
      </c>
      <c r="F132" s="5" t="str">
        <f t="shared" si="10"/>
        <v>New "Load.M2_m2_trf_5286967a" bus1="82029725286967.1.2.3.4" phases=3 conn=Wye model=3 kv=0.380 kw=16,7370513681062 kvar=6,8544397385898 daily="RES-Tipo3_DU" status=variable vmaxpu=1.5 vminpu=0.92</v>
      </c>
      <c r="G132" t="s">
        <v>290</v>
      </c>
      <c r="H132" t="s">
        <v>291</v>
      </c>
      <c r="I132" s="4" t="str">
        <f t="shared" si="11"/>
        <v>m2_trf_5286967a</v>
      </c>
      <c r="J132" t="s">
        <v>292</v>
      </c>
      <c r="K132" t="s">
        <v>293</v>
      </c>
      <c r="L132" t="str">
        <f t="shared" si="12"/>
        <v>82029725286967</v>
      </c>
      <c r="M132" t="s">
        <v>294</v>
      </c>
      <c r="N132" t="s">
        <v>295</v>
      </c>
      <c r="O132" t="s">
        <v>296</v>
      </c>
      <c r="P132" t="s">
        <v>297</v>
      </c>
      <c r="Q132" t="s">
        <v>298</v>
      </c>
      <c r="R132" t="s">
        <v>299</v>
      </c>
      <c r="S132" s="4">
        <f t="shared" si="13"/>
        <v>16.737051368106201</v>
      </c>
      <c r="T132" t="s">
        <v>300</v>
      </c>
      <c r="U132" s="4">
        <f t="shared" si="14"/>
        <v>6.8544397385898002</v>
      </c>
      <c r="V132" t="s">
        <v>301</v>
      </c>
      <c r="W132" t="s">
        <v>302</v>
      </c>
      <c r="X132" t="s">
        <v>303</v>
      </c>
      <c r="Y132" t="s">
        <v>304</v>
      </c>
    </row>
    <row r="133" spans="1:25" x14ac:dyDescent="0.25">
      <c r="A133" t="s">
        <v>132</v>
      </c>
      <c r="B133">
        <v>1.2852735813979499</v>
      </c>
      <c r="C133">
        <v>0.53439237611259505</v>
      </c>
      <c r="D133" s="2" t="s">
        <v>276</v>
      </c>
      <c r="F133" s="5" t="str">
        <f t="shared" si="10"/>
        <v>New "Load.M2_m2_trf_5647498a" bus1="93119985647498.1.2.3.4" phases=3 conn=Wye model=3 kv=0.380 kw=1,28527358139795 kvar=0,534392376112595 daily="RES-Tipo3_DU" status=variable vmaxpu=1.5 vminpu=0.92</v>
      </c>
      <c r="G133" t="s">
        <v>290</v>
      </c>
      <c r="H133" t="s">
        <v>291</v>
      </c>
      <c r="I133" s="4" t="str">
        <f t="shared" si="11"/>
        <v>m2_trf_5647498a</v>
      </c>
      <c r="J133" t="s">
        <v>292</v>
      </c>
      <c r="K133" t="s">
        <v>293</v>
      </c>
      <c r="L133" t="str">
        <f t="shared" si="12"/>
        <v>93119985647498</v>
      </c>
      <c r="M133" t="s">
        <v>294</v>
      </c>
      <c r="N133" t="s">
        <v>295</v>
      </c>
      <c r="O133" t="s">
        <v>296</v>
      </c>
      <c r="P133" t="s">
        <v>297</v>
      </c>
      <c r="Q133" t="s">
        <v>298</v>
      </c>
      <c r="R133" t="s">
        <v>299</v>
      </c>
      <c r="S133" s="4">
        <f t="shared" si="13"/>
        <v>1.2852735813979499</v>
      </c>
      <c r="T133" t="s">
        <v>300</v>
      </c>
      <c r="U133" s="4">
        <f t="shared" si="14"/>
        <v>0.53439237611259505</v>
      </c>
      <c r="V133" t="s">
        <v>301</v>
      </c>
      <c r="W133" t="s">
        <v>302</v>
      </c>
      <c r="X133" t="s">
        <v>303</v>
      </c>
      <c r="Y133" t="s">
        <v>304</v>
      </c>
    </row>
    <row r="134" spans="1:25" x14ac:dyDescent="0.25">
      <c r="A134" t="s">
        <v>133</v>
      </c>
      <c r="B134">
        <v>24.460362806298999</v>
      </c>
      <c r="C134">
        <v>9.8368950354925602</v>
      </c>
      <c r="D134" s="2" t="s">
        <v>277</v>
      </c>
      <c r="F134" s="5" t="str">
        <f t="shared" si="10"/>
        <v>New "Load.M2_m2_trf_5688575a" bus1="82054155688575.1.2.3.4" phases=3 conn=Wye model=3 kv=0.380 kw=24,460362806299 kvar=9,83689503549256 daily="RES-Tipo3_DU" status=variable vmaxpu=1.5 vminpu=0.92</v>
      </c>
      <c r="G134" t="s">
        <v>290</v>
      </c>
      <c r="H134" t="s">
        <v>291</v>
      </c>
      <c r="I134" s="4" t="str">
        <f t="shared" si="11"/>
        <v>m2_trf_5688575a</v>
      </c>
      <c r="J134" t="s">
        <v>292</v>
      </c>
      <c r="K134" t="s">
        <v>293</v>
      </c>
      <c r="L134" t="str">
        <f t="shared" si="12"/>
        <v>82054155688575</v>
      </c>
      <c r="M134" t="s">
        <v>294</v>
      </c>
      <c r="N134" t="s">
        <v>295</v>
      </c>
      <c r="O134" t="s">
        <v>296</v>
      </c>
      <c r="P134" t="s">
        <v>297</v>
      </c>
      <c r="Q134" t="s">
        <v>298</v>
      </c>
      <c r="R134" t="s">
        <v>299</v>
      </c>
      <c r="S134" s="4">
        <f t="shared" si="13"/>
        <v>24.460362806298999</v>
      </c>
      <c r="T134" t="s">
        <v>300</v>
      </c>
      <c r="U134" s="4">
        <f t="shared" si="14"/>
        <v>9.8368950354925602</v>
      </c>
      <c r="V134" t="s">
        <v>301</v>
      </c>
      <c r="W134" t="s">
        <v>302</v>
      </c>
      <c r="X134" t="s">
        <v>303</v>
      </c>
      <c r="Y134" t="s">
        <v>304</v>
      </c>
    </row>
    <row r="135" spans="1:25" x14ac:dyDescent="0.25">
      <c r="A135" t="s">
        <v>134</v>
      </c>
      <c r="B135">
        <v>17.8137771729183</v>
      </c>
      <c r="C135">
        <v>7.3929395603616497</v>
      </c>
      <c r="D135" s="2" t="s">
        <v>278</v>
      </c>
      <c r="F135" s="5" t="str">
        <f t="shared" si="10"/>
        <v>New "Load.M2_m2_trf_5675373a" bus1="93945325675373.1.2.3.4" phases=3 conn=Wye model=3 kv=0.380 kw=17,8137771729183 kvar=7,39293956036165 daily="RES-Tipo3_DU" status=variable vmaxpu=1.5 vminpu=0.92</v>
      </c>
      <c r="G135" t="s">
        <v>290</v>
      </c>
      <c r="H135" t="s">
        <v>291</v>
      </c>
      <c r="I135" s="4" t="str">
        <f t="shared" si="11"/>
        <v>m2_trf_5675373a</v>
      </c>
      <c r="J135" t="s">
        <v>292</v>
      </c>
      <c r="K135" t="s">
        <v>293</v>
      </c>
      <c r="L135" t="str">
        <f t="shared" si="12"/>
        <v>93945325675373</v>
      </c>
      <c r="M135" t="s">
        <v>294</v>
      </c>
      <c r="N135" t="s">
        <v>295</v>
      </c>
      <c r="O135" t="s">
        <v>296</v>
      </c>
      <c r="P135" t="s">
        <v>297</v>
      </c>
      <c r="Q135" t="s">
        <v>298</v>
      </c>
      <c r="R135" t="s">
        <v>299</v>
      </c>
      <c r="S135" s="4">
        <f t="shared" si="13"/>
        <v>17.8137771729183</v>
      </c>
      <c r="T135" t="s">
        <v>300</v>
      </c>
      <c r="U135" s="4">
        <f t="shared" si="14"/>
        <v>7.3929395603616497</v>
      </c>
      <c r="V135" t="s">
        <v>301</v>
      </c>
      <c r="W135" t="s">
        <v>302</v>
      </c>
      <c r="X135" t="s">
        <v>303</v>
      </c>
      <c r="Y135" t="s">
        <v>304</v>
      </c>
    </row>
    <row r="136" spans="1:25" x14ac:dyDescent="0.25">
      <c r="A136" t="s">
        <v>135</v>
      </c>
      <c r="B136">
        <v>19.961481502027901</v>
      </c>
      <c r="C136">
        <v>8.2382154411113593</v>
      </c>
      <c r="D136" s="2" t="s">
        <v>279</v>
      </c>
      <c r="F136" s="5" t="str">
        <f t="shared" si="10"/>
        <v>New "Load.M2_m2_trf_5323939a" bus1="84503635323939.1.2.3.4" phases=3 conn=Wye model=3 kv=0.380 kw=19,9614815020279 kvar=8,23821544111136 daily="RES-Tipo3_DU" status=variable vmaxpu=1.5 vminpu=0.92</v>
      </c>
      <c r="G136" t="s">
        <v>290</v>
      </c>
      <c r="H136" t="s">
        <v>291</v>
      </c>
      <c r="I136" s="4" t="str">
        <f t="shared" si="11"/>
        <v>m2_trf_5323939a</v>
      </c>
      <c r="J136" t="s">
        <v>292</v>
      </c>
      <c r="K136" t="s">
        <v>293</v>
      </c>
      <c r="L136" t="str">
        <f t="shared" si="12"/>
        <v>84503635323939</v>
      </c>
      <c r="M136" t="s">
        <v>294</v>
      </c>
      <c r="N136" t="s">
        <v>295</v>
      </c>
      <c r="O136" t="s">
        <v>296</v>
      </c>
      <c r="P136" t="s">
        <v>297</v>
      </c>
      <c r="Q136" t="s">
        <v>298</v>
      </c>
      <c r="R136" t="s">
        <v>299</v>
      </c>
      <c r="S136" s="4">
        <f t="shared" si="13"/>
        <v>19.961481502027901</v>
      </c>
      <c r="T136" t="s">
        <v>300</v>
      </c>
      <c r="U136" s="4">
        <f t="shared" si="14"/>
        <v>8.2382154411113593</v>
      </c>
      <c r="V136" t="s">
        <v>301</v>
      </c>
      <c r="W136" t="s">
        <v>302</v>
      </c>
      <c r="X136" t="s">
        <v>303</v>
      </c>
      <c r="Y136" t="s">
        <v>304</v>
      </c>
    </row>
    <row r="137" spans="1:25" x14ac:dyDescent="0.25">
      <c r="A137" t="s">
        <v>136</v>
      </c>
      <c r="B137">
        <v>0.35055607859445498</v>
      </c>
      <c r="C137">
        <v>0.15001731956952899</v>
      </c>
      <c r="D137" s="2" t="s">
        <v>280</v>
      </c>
      <c r="F137" s="5" t="str">
        <f t="shared" si="10"/>
        <v>New "Load.M2_m2_trf_5702287a" bus1="90017935702287.1.2.3.4" phases=3 conn=Wye model=3 kv=0.380 kw=0,350556078594455 kvar=0,150017319569529 daily="RES-Tipo3_DU" status=variable vmaxpu=1.5 vminpu=0.92</v>
      </c>
      <c r="G137" t="s">
        <v>290</v>
      </c>
      <c r="H137" t="s">
        <v>291</v>
      </c>
      <c r="I137" s="4" t="str">
        <f t="shared" si="11"/>
        <v>m2_trf_5702287a</v>
      </c>
      <c r="J137" t="s">
        <v>292</v>
      </c>
      <c r="K137" t="s">
        <v>293</v>
      </c>
      <c r="L137" t="str">
        <f t="shared" si="12"/>
        <v>90017935702287</v>
      </c>
      <c r="M137" t="s">
        <v>294</v>
      </c>
      <c r="N137" t="s">
        <v>295</v>
      </c>
      <c r="O137" t="s">
        <v>296</v>
      </c>
      <c r="P137" t="s">
        <v>297</v>
      </c>
      <c r="Q137" t="s">
        <v>298</v>
      </c>
      <c r="R137" t="s">
        <v>299</v>
      </c>
      <c r="S137" s="4">
        <f t="shared" si="13"/>
        <v>0.35055607859445498</v>
      </c>
      <c r="T137" t="s">
        <v>300</v>
      </c>
      <c r="U137" s="4">
        <f t="shared" si="14"/>
        <v>0.15001731956952899</v>
      </c>
      <c r="V137" t="s">
        <v>301</v>
      </c>
      <c r="W137" t="s">
        <v>302</v>
      </c>
      <c r="X137" t="s">
        <v>303</v>
      </c>
      <c r="Y137" t="s">
        <v>304</v>
      </c>
    </row>
    <row r="138" spans="1:25" x14ac:dyDescent="0.25">
      <c r="A138" t="s">
        <v>137</v>
      </c>
      <c r="B138">
        <v>10.189476563239401</v>
      </c>
      <c r="C138">
        <v>4.3059686595390803</v>
      </c>
      <c r="D138" s="2" t="s">
        <v>281</v>
      </c>
      <c r="F138" s="5" t="str">
        <f t="shared" si="10"/>
        <v>New "Load.M2_m2_trf_5713817a" bus1="82034385713817.1.2.3.4" phases=3 conn=Wye model=3 kv=0.380 kw=10,1894765632394 kvar=4,30596865953908 daily="RES-Tipo3_DU" status=variable vmaxpu=1.5 vminpu=0.92</v>
      </c>
      <c r="G138" t="s">
        <v>290</v>
      </c>
      <c r="H138" t="s">
        <v>291</v>
      </c>
      <c r="I138" s="4" t="str">
        <f t="shared" si="11"/>
        <v>m2_trf_5713817a</v>
      </c>
      <c r="J138" t="s">
        <v>292</v>
      </c>
      <c r="K138" t="s">
        <v>293</v>
      </c>
      <c r="L138" t="str">
        <f t="shared" si="12"/>
        <v>82034385713817</v>
      </c>
      <c r="M138" t="s">
        <v>294</v>
      </c>
      <c r="N138" t="s">
        <v>295</v>
      </c>
      <c r="O138" t="s">
        <v>296</v>
      </c>
      <c r="P138" t="s">
        <v>297</v>
      </c>
      <c r="Q138" t="s">
        <v>298</v>
      </c>
      <c r="R138" t="s">
        <v>299</v>
      </c>
      <c r="S138" s="4">
        <f t="shared" si="13"/>
        <v>10.189476563239401</v>
      </c>
      <c r="T138" t="s">
        <v>300</v>
      </c>
      <c r="U138" s="4">
        <f t="shared" si="14"/>
        <v>4.3059686595390803</v>
      </c>
      <c r="V138" t="s">
        <v>301</v>
      </c>
      <c r="W138" t="s">
        <v>302</v>
      </c>
      <c r="X138" t="s">
        <v>303</v>
      </c>
      <c r="Y138" t="s">
        <v>304</v>
      </c>
    </row>
    <row r="139" spans="1:25" x14ac:dyDescent="0.25">
      <c r="A139" t="s">
        <v>138</v>
      </c>
      <c r="B139">
        <v>11.848469629622301</v>
      </c>
      <c r="C139">
        <v>5.0014795515907799</v>
      </c>
      <c r="D139" s="2" t="s">
        <v>282</v>
      </c>
      <c r="F139" s="5" t="str">
        <f t="shared" si="10"/>
        <v>New "Load.M2_m2_trf_5719448a" bus1="95141555719448.1.2.3.4" phases=3 conn=Wye model=3 kv=0.380 kw=11,8484696296223 kvar=5,00147955159078 daily="RES-Tipo3_DU" status=variable vmaxpu=1.5 vminpu=0.92</v>
      </c>
      <c r="G139" t="s">
        <v>290</v>
      </c>
      <c r="H139" t="s">
        <v>291</v>
      </c>
      <c r="I139" s="4" t="str">
        <f t="shared" si="11"/>
        <v>m2_trf_5719448a</v>
      </c>
      <c r="J139" t="s">
        <v>292</v>
      </c>
      <c r="K139" t="s">
        <v>293</v>
      </c>
      <c r="L139" t="str">
        <f t="shared" si="12"/>
        <v>95141555719448</v>
      </c>
      <c r="M139" t="s">
        <v>294</v>
      </c>
      <c r="N139" t="s">
        <v>295</v>
      </c>
      <c r="O139" t="s">
        <v>296</v>
      </c>
      <c r="P139" t="s">
        <v>297</v>
      </c>
      <c r="Q139" t="s">
        <v>298</v>
      </c>
      <c r="R139" t="s">
        <v>299</v>
      </c>
      <c r="S139" s="4">
        <f t="shared" si="13"/>
        <v>11.848469629622301</v>
      </c>
      <c r="T139" t="s">
        <v>300</v>
      </c>
      <c r="U139" s="4">
        <f t="shared" si="14"/>
        <v>5.0014795515907799</v>
      </c>
      <c r="V139" t="s">
        <v>301</v>
      </c>
      <c r="W139" t="s">
        <v>302</v>
      </c>
      <c r="X139" t="s">
        <v>303</v>
      </c>
      <c r="Y139" t="s">
        <v>304</v>
      </c>
    </row>
    <row r="140" spans="1:25" x14ac:dyDescent="0.25">
      <c r="A140" t="s">
        <v>139</v>
      </c>
      <c r="B140">
        <v>39.5474205977726</v>
      </c>
      <c r="C140">
        <v>16.286319709009899</v>
      </c>
      <c r="D140" s="2" t="s">
        <v>283</v>
      </c>
      <c r="F140" s="5" t="str">
        <f t="shared" si="10"/>
        <v>New "Load.M2_m2_trf_5333902a" bus1="85167275333902.1.2.3.4" phases=3 conn=Wye model=3 kv=0.380 kw=39,5474205977726 kvar=16,2863197090099 daily="RES-Tipo3_DU" status=variable vmaxpu=1.5 vminpu=0.92</v>
      </c>
      <c r="G140" t="s">
        <v>290</v>
      </c>
      <c r="H140" t="s">
        <v>291</v>
      </c>
      <c r="I140" s="4" t="str">
        <f t="shared" si="11"/>
        <v>m2_trf_5333902a</v>
      </c>
      <c r="J140" t="s">
        <v>292</v>
      </c>
      <c r="K140" t="s">
        <v>293</v>
      </c>
      <c r="L140" t="str">
        <f t="shared" si="12"/>
        <v>85167275333902</v>
      </c>
      <c r="M140" t="s">
        <v>294</v>
      </c>
      <c r="N140" t="s">
        <v>295</v>
      </c>
      <c r="O140" t="s">
        <v>296</v>
      </c>
      <c r="P140" t="s">
        <v>297</v>
      </c>
      <c r="Q140" t="s">
        <v>298</v>
      </c>
      <c r="R140" t="s">
        <v>299</v>
      </c>
      <c r="S140" s="4">
        <f t="shared" si="13"/>
        <v>39.5474205977726</v>
      </c>
      <c r="T140" t="s">
        <v>300</v>
      </c>
      <c r="U140" s="4">
        <f t="shared" si="14"/>
        <v>16.286319709009899</v>
      </c>
      <c r="V140" t="s">
        <v>301</v>
      </c>
      <c r="W140" t="s">
        <v>302</v>
      </c>
      <c r="X140" t="s">
        <v>303</v>
      </c>
      <c r="Y140" t="s">
        <v>304</v>
      </c>
    </row>
    <row r="141" spans="1:25" x14ac:dyDescent="0.25">
      <c r="A141" t="s">
        <v>140</v>
      </c>
      <c r="B141">
        <v>22.002314922365301</v>
      </c>
      <c r="C141">
        <v>8.9185286814681799</v>
      </c>
      <c r="D141" s="2" t="s">
        <v>284</v>
      </c>
      <c r="F141" s="5" t="str">
        <f t="shared" si="10"/>
        <v>New "Load.M2_m2_trf_5740255a" bus1="82056945740255.1.2.3.4" phases=3 conn=Wye model=3 kv=0.380 kw=22,0023149223653 kvar=8,91852868146818 daily="RES-Tipo3_DU" status=variable vmaxpu=1.5 vminpu=0.92</v>
      </c>
      <c r="G141" t="s">
        <v>290</v>
      </c>
      <c r="H141" t="s">
        <v>291</v>
      </c>
      <c r="I141" s="4" t="str">
        <f t="shared" si="11"/>
        <v>m2_trf_5740255a</v>
      </c>
      <c r="J141" t="s">
        <v>292</v>
      </c>
      <c r="K141" t="s">
        <v>293</v>
      </c>
      <c r="L141" t="str">
        <f t="shared" si="12"/>
        <v>82056945740255</v>
      </c>
      <c r="M141" t="s">
        <v>294</v>
      </c>
      <c r="N141" t="s">
        <v>295</v>
      </c>
      <c r="O141" t="s">
        <v>296</v>
      </c>
      <c r="P141" t="s">
        <v>297</v>
      </c>
      <c r="Q141" t="s">
        <v>298</v>
      </c>
      <c r="R141" t="s">
        <v>299</v>
      </c>
      <c r="S141" s="4">
        <f t="shared" si="13"/>
        <v>22.002314922365301</v>
      </c>
      <c r="T141" t="s">
        <v>300</v>
      </c>
      <c r="U141" s="4">
        <f t="shared" si="14"/>
        <v>8.9185286814681799</v>
      </c>
      <c r="V141" t="s">
        <v>301</v>
      </c>
      <c r="W141" t="s">
        <v>302</v>
      </c>
      <c r="X141" t="s">
        <v>303</v>
      </c>
      <c r="Y141" t="s">
        <v>304</v>
      </c>
    </row>
    <row r="142" spans="1:25" x14ac:dyDescent="0.25">
      <c r="A142" t="s">
        <v>141</v>
      </c>
      <c r="B142">
        <v>18.464550088476599</v>
      </c>
      <c r="C142">
        <v>7.5020876218027404</v>
      </c>
      <c r="D142" s="2" t="s">
        <v>285</v>
      </c>
      <c r="F142" s="5" t="str">
        <f t="shared" si="10"/>
        <v>New "Load.M2_m2_trf_5740270a" bus1="96033635740270.1.2.3.4" phases=3 conn=Wye model=3 kv=0.380 kw=18,4645500884766 kvar=7,50208762180274 daily="RES-Tipo3_DU" status=variable vmaxpu=1.5 vminpu=0.92</v>
      </c>
      <c r="G142" t="s">
        <v>290</v>
      </c>
      <c r="H142" t="s">
        <v>291</v>
      </c>
      <c r="I142" s="4" t="str">
        <f t="shared" si="11"/>
        <v>m2_trf_5740270a</v>
      </c>
      <c r="J142" t="s">
        <v>292</v>
      </c>
      <c r="K142" t="s">
        <v>293</v>
      </c>
      <c r="L142" t="str">
        <f t="shared" si="12"/>
        <v>96033635740270</v>
      </c>
      <c r="M142" t="s">
        <v>294</v>
      </c>
      <c r="N142" t="s">
        <v>295</v>
      </c>
      <c r="O142" t="s">
        <v>296</v>
      </c>
      <c r="P142" t="s">
        <v>297</v>
      </c>
      <c r="Q142" t="s">
        <v>298</v>
      </c>
      <c r="R142" t="s">
        <v>299</v>
      </c>
      <c r="S142" s="4">
        <f t="shared" si="13"/>
        <v>18.464550088476599</v>
      </c>
      <c r="T142" t="s">
        <v>300</v>
      </c>
      <c r="U142" s="4">
        <f t="shared" si="14"/>
        <v>7.5020876218027404</v>
      </c>
      <c r="V142" t="s">
        <v>301</v>
      </c>
      <c r="W142" t="s">
        <v>302</v>
      </c>
      <c r="X142" t="s">
        <v>303</v>
      </c>
      <c r="Y142" t="s">
        <v>304</v>
      </c>
    </row>
    <row r="143" spans="1:25" x14ac:dyDescent="0.25">
      <c r="A143" t="s">
        <v>142</v>
      </c>
      <c r="B143">
        <v>24.779201780022301</v>
      </c>
      <c r="C143">
        <v>10.2284090783227</v>
      </c>
      <c r="D143" s="2" t="s">
        <v>286</v>
      </c>
      <c r="F143" s="5" t="str">
        <f t="shared" si="10"/>
        <v>New "Load.M2_m2_trf_5744153a" bus1="96264655744153.1.2.3.4" phases=3 conn=Wye model=3 kv=0.380 kw=24,7792017800223 kvar=10,2284090783227 daily="RES-Tipo3_DU" status=variable vmaxpu=1.5 vminpu=0.92</v>
      </c>
      <c r="G143" t="s">
        <v>290</v>
      </c>
      <c r="H143" t="s">
        <v>291</v>
      </c>
      <c r="I143" s="4" t="str">
        <f t="shared" si="11"/>
        <v>m2_trf_5744153a</v>
      </c>
      <c r="J143" t="s">
        <v>292</v>
      </c>
      <c r="K143" t="s">
        <v>293</v>
      </c>
      <c r="L143" t="str">
        <f t="shared" si="12"/>
        <v>96264655744153</v>
      </c>
      <c r="M143" t="s">
        <v>294</v>
      </c>
      <c r="N143" t="s">
        <v>295</v>
      </c>
      <c r="O143" t="s">
        <v>296</v>
      </c>
      <c r="P143" t="s">
        <v>297</v>
      </c>
      <c r="Q143" t="s">
        <v>298</v>
      </c>
      <c r="R143" t="s">
        <v>299</v>
      </c>
      <c r="S143" s="4">
        <f t="shared" si="13"/>
        <v>24.779201780022301</v>
      </c>
      <c r="T143" t="s">
        <v>300</v>
      </c>
      <c r="U143" s="4">
        <f t="shared" si="14"/>
        <v>10.2284090783227</v>
      </c>
      <c r="V143" t="s">
        <v>301</v>
      </c>
      <c r="W143" t="s">
        <v>302</v>
      </c>
      <c r="X143" t="s">
        <v>303</v>
      </c>
      <c r="Y143" t="s">
        <v>304</v>
      </c>
    </row>
    <row r="144" spans="1:25" x14ac:dyDescent="0.25">
      <c r="A144" t="s">
        <v>143</v>
      </c>
      <c r="B144">
        <v>16.7239220692027</v>
      </c>
      <c r="C144">
        <v>6.7973372179933298</v>
      </c>
      <c r="D144" s="2" t="s">
        <v>287</v>
      </c>
      <c r="F144" s="5" t="str">
        <f t="shared" si="10"/>
        <v>New "Load.M2_m2_trf_5444435a" bus1="81481405444435.1.2.3.4" phases=3 conn=Wye model=3 kv=0.380 kw=16,7239220692027 kvar=6,79733721799333 daily="RES-Tipo3_DU" status=variable vmaxpu=1.5 vminpu=0.92</v>
      </c>
      <c r="G144" t="s">
        <v>290</v>
      </c>
      <c r="H144" t="s">
        <v>291</v>
      </c>
      <c r="I144" s="4" t="str">
        <f t="shared" si="11"/>
        <v>m2_trf_5444435a</v>
      </c>
      <c r="J144" t="s">
        <v>292</v>
      </c>
      <c r="K144" t="s">
        <v>293</v>
      </c>
      <c r="L144" t="str">
        <f t="shared" si="12"/>
        <v>81481405444435</v>
      </c>
      <c r="M144" t="s">
        <v>294</v>
      </c>
      <c r="N144" t="s">
        <v>295</v>
      </c>
      <c r="O144" t="s">
        <v>296</v>
      </c>
      <c r="P144" t="s">
        <v>297</v>
      </c>
      <c r="Q144" t="s">
        <v>298</v>
      </c>
      <c r="R144" t="s">
        <v>299</v>
      </c>
      <c r="S144" s="4">
        <f t="shared" si="13"/>
        <v>16.7239220692027</v>
      </c>
      <c r="T144" t="s">
        <v>300</v>
      </c>
      <c r="U144" s="4">
        <f t="shared" si="14"/>
        <v>6.7973372179933298</v>
      </c>
      <c r="V144" t="s">
        <v>301</v>
      </c>
      <c r="W144" t="s">
        <v>302</v>
      </c>
      <c r="X144" t="s">
        <v>303</v>
      </c>
      <c r="Y144" t="s">
        <v>304</v>
      </c>
    </row>
    <row r="145" spans="2:21" x14ac:dyDescent="0.25">
      <c r="B145">
        <v>0.40538936342003601</v>
      </c>
      <c r="C145">
        <v>0.173831896895871</v>
      </c>
      <c r="I145" s="4"/>
      <c r="S145" s="4"/>
      <c r="U145" s="4"/>
    </row>
    <row r="146" spans="2:21" x14ac:dyDescent="0.25">
      <c r="B146">
        <v>20.052047936693999</v>
      </c>
      <c r="C146">
        <v>8.6083060988191296</v>
      </c>
      <c r="I146" s="4"/>
      <c r="S146" s="4"/>
      <c r="U146" s="4"/>
    </row>
    <row r="147" spans="2:21" x14ac:dyDescent="0.25">
      <c r="B147">
        <v>1.7618647607281901</v>
      </c>
      <c r="C147">
        <v>0.76436128281950899</v>
      </c>
      <c r="I147" s="4"/>
      <c r="S147" s="4"/>
      <c r="U147" s="4"/>
    </row>
    <row r="148" spans="2:21" x14ac:dyDescent="0.25">
      <c r="B148">
        <v>3.4552332459750499</v>
      </c>
      <c r="C148">
        <v>1.4352856084113299</v>
      </c>
      <c r="I148" s="4"/>
      <c r="S148" s="4"/>
      <c r="U148" s="4"/>
    </row>
    <row r="149" spans="2:21" x14ac:dyDescent="0.25">
      <c r="B149">
        <v>44.8128304706051</v>
      </c>
      <c r="C149">
        <v>18.603941960160299</v>
      </c>
      <c r="I149" s="4"/>
      <c r="S149" s="4"/>
      <c r="U149" s="4"/>
    </row>
    <row r="150" spans="2:21" x14ac:dyDescent="0.25">
      <c r="B150">
        <v>73.793315474833804</v>
      </c>
      <c r="C150">
        <v>30.040118798268701</v>
      </c>
      <c r="I150" s="4"/>
      <c r="S150" s="4"/>
      <c r="U150" s="4"/>
    </row>
    <row r="151" spans="2:21" x14ac:dyDescent="0.25">
      <c r="B151">
        <v>29.403779086828301</v>
      </c>
      <c r="C151">
        <v>12.1704751102318</v>
      </c>
      <c r="I151" s="4"/>
      <c r="S151" s="4"/>
      <c r="U151" s="4"/>
    </row>
    <row r="152" spans="2:21" x14ac:dyDescent="0.25">
      <c r="B152">
        <v>46.709459712351702</v>
      </c>
      <c r="C152">
        <v>19.498022828696602</v>
      </c>
      <c r="I152" s="4"/>
      <c r="S152" s="4"/>
      <c r="U152" s="4"/>
    </row>
    <row r="153" spans="2:21" x14ac:dyDescent="0.25">
      <c r="B153">
        <v>53.968027565444302</v>
      </c>
      <c r="C153">
        <v>22.3515260804093</v>
      </c>
      <c r="I153" s="4"/>
      <c r="S153" s="4"/>
      <c r="U153" s="4"/>
    </row>
    <row r="154" spans="2:21" x14ac:dyDescent="0.25">
      <c r="B154">
        <v>44.619274123807898</v>
      </c>
      <c r="C154">
        <v>18.417287561102899</v>
      </c>
      <c r="I154" s="4"/>
      <c r="S154" s="4"/>
      <c r="U154" s="4"/>
    </row>
    <row r="155" spans="2:21" x14ac:dyDescent="0.25">
      <c r="B155">
        <v>27.134437625905399</v>
      </c>
      <c r="C155">
        <v>11.222555034236301</v>
      </c>
      <c r="I155" s="4"/>
      <c r="S155" s="4"/>
      <c r="U155" s="4"/>
    </row>
    <row r="156" spans="2:21" x14ac:dyDescent="0.25">
      <c r="B156">
        <v>66.083964341415907</v>
      </c>
      <c r="C156">
        <v>27.3520602481018</v>
      </c>
      <c r="I156" s="4"/>
      <c r="S156" s="4"/>
      <c r="U156" s="4"/>
    </row>
    <row r="157" spans="2:21" x14ac:dyDescent="0.25">
      <c r="B157">
        <v>47.345760126934799</v>
      </c>
      <c r="C157">
        <v>19.694890669098399</v>
      </c>
      <c r="I157" s="4"/>
      <c r="S157" s="4"/>
      <c r="U157" s="4"/>
    </row>
    <row r="158" spans="2:21" x14ac:dyDescent="0.25">
      <c r="B158">
        <v>36.474462084413801</v>
      </c>
      <c r="C158">
        <v>15.1013372476957</v>
      </c>
      <c r="I158" s="4"/>
      <c r="S158" s="4"/>
      <c r="U158" s="4"/>
    </row>
    <row r="159" spans="2:21" x14ac:dyDescent="0.25">
      <c r="B159">
        <v>23.3779623215367</v>
      </c>
      <c r="C159">
        <v>9.7181994241097591</v>
      </c>
      <c r="I159" s="4"/>
      <c r="S159" s="4"/>
      <c r="U159" s="4"/>
    </row>
    <row r="160" spans="2:21" x14ac:dyDescent="0.25">
      <c r="B160">
        <v>27.382764404700598</v>
      </c>
      <c r="C160">
        <v>11.338275915726999</v>
      </c>
      <c r="I160" s="4"/>
      <c r="S160" s="4"/>
      <c r="U160" s="4"/>
    </row>
    <row r="161" spans="2:21" x14ac:dyDescent="0.25">
      <c r="B161">
        <v>55.897825551802001</v>
      </c>
      <c r="C161">
        <v>23.0385118616115</v>
      </c>
      <c r="I161" s="4"/>
      <c r="S161" s="4"/>
      <c r="U161" s="4"/>
    </row>
    <row r="162" spans="2:21" x14ac:dyDescent="0.25">
      <c r="B162">
        <v>47.971606068601503</v>
      </c>
      <c r="C162">
        <v>19.854917819864301</v>
      </c>
      <c r="I162" s="4"/>
      <c r="S162" s="4"/>
      <c r="U162" s="4"/>
    </row>
    <row r="163" spans="2:21" x14ac:dyDescent="0.25">
      <c r="B163">
        <v>33.942540298909201</v>
      </c>
      <c r="C163">
        <v>14.0571646055584</v>
      </c>
      <c r="I163" s="4"/>
      <c r="S163" s="4"/>
      <c r="U163" s="4"/>
    </row>
    <row r="164" spans="2:21" x14ac:dyDescent="0.25">
      <c r="B164">
        <v>29.0201410912608</v>
      </c>
      <c r="C164">
        <v>11.967545432086</v>
      </c>
      <c r="I164" s="4"/>
      <c r="S164" s="4"/>
      <c r="U164" s="4"/>
    </row>
    <row r="165" spans="2:21" x14ac:dyDescent="0.25">
      <c r="B165">
        <v>55.684572196198602</v>
      </c>
      <c r="C165">
        <v>22.667462041839201</v>
      </c>
      <c r="I165" s="4"/>
      <c r="S165" s="4"/>
      <c r="U165" s="4"/>
    </row>
    <row r="166" spans="2:21" x14ac:dyDescent="0.25">
      <c r="B166">
        <v>51.225869735265803</v>
      </c>
      <c r="C166">
        <v>20.8361894858432</v>
      </c>
      <c r="I166" s="4"/>
      <c r="S166" s="4"/>
      <c r="U166" s="4"/>
    </row>
    <row r="167" spans="2:21" x14ac:dyDescent="0.25">
      <c r="B167">
        <v>34.420879154286602</v>
      </c>
      <c r="C167">
        <v>14.1101828000659</v>
      </c>
      <c r="I167" s="4"/>
      <c r="S167" s="4"/>
      <c r="U167" s="4"/>
    </row>
    <row r="168" spans="2:21" x14ac:dyDescent="0.25">
      <c r="B168">
        <v>44.3458303579934</v>
      </c>
      <c r="C168">
        <v>18.547102206381201</v>
      </c>
      <c r="I168" s="4"/>
      <c r="S168" s="4"/>
      <c r="U168" s="4"/>
    </row>
    <row r="169" spans="2:21" x14ac:dyDescent="0.25">
      <c r="B169">
        <v>62.319686241703501</v>
      </c>
      <c r="C169">
        <v>25.718124448819498</v>
      </c>
      <c r="I169" s="4"/>
      <c r="S169" s="4"/>
      <c r="U169" s="4"/>
    </row>
    <row r="170" spans="2:21" x14ac:dyDescent="0.25">
      <c r="B170">
        <v>63.018339793442401</v>
      </c>
      <c r="C170">
        <v>25.587932343164798</v>
      </c>
      <c r="I170" s="4"/>
      <c r="S170" s="4"/>
      <c r="U170" s="4"/>
    </row>
    <row r="171" spans="2:21" x14ac:dyDescent="0.25">
      <c r="B171">
        <v>44.025625225835398</v>
      </c>
      <c r="C171">
        <v>18.097852614909399</v>
      </c>
      <c r="I171" s="4"/>
      <c r="S171" s="4"/>
      <c r="U171" s="4"/>
    </row>
    <row r="172" spans="2:21" x14ac:dyDescent="0.25">
      <c r="B172">
        <v>71.893445743432395</v>
      </c>
      <c r="C172">
        <v>30.021889471426299</v>
      </c>
      <c r="I172" s="4"/>
      <c r="S172" s="4"/>
      <c r="U172" s="4"/>
    </row>
    <row r="173" spans="2:21" x14ac:dyDescent="0.25">
      <c r="B173">
        <v>54.2854098168444</v>
      </c>
      <c r="C173">
        <v>22.452872242825201</v>
      </c>
      <c r="I173" s="4"/>
      <c r="S173" s="4"/>
      <c r="U173" s="4"/>
    </row>
    <row r="174" spans="2:21" x14ac:dyDescent="0.25">
      <c r="B174">
        <v>93.879355837577904</v>
      </c>
      <c r="C174">
        <v>39.007488675088297</v>
      </c>
      <c r="I174" s="4"/>
      <c r="S174" s="4"/>
      <c r="U174" s="4"/>
    </row>
    <row r="175" spans="2:21" x14ac:dyDescent="0.25">
      <c r="B175">
        <v>25.237012867825001</v>
      </c>
      <c r="C175">
        <v>10.401842982014699</v>
      </c>
      <c r="I175" s="4"/>
      <c r="S175" s="4"/>
      <c r="U175" s="4"/>
    </row>
    <row r="176" spans="2:21" x14ac:dyDescent="0.25">
      <c r="B176">
        <v>56.791031975280603</v>
      </c>
      <c r="C176">
        <v>23.433353890018701</v>
      </c>
      <c r="I176" s="4"/>
      <c r="S176" s="4"/>
      <c r="U176" s="4"/>
    </row>
    <row r="177" spans="2:21" x14ac:dyDescent="0.25">
      <c r="B177">
        <v>64.622653763790197</v>
      </c>
      <c r="C177">
        <v>26.760541216746699</v>
      </c>
      <c r="I177" s="4"/>
      <c r="S177" s="4"/>
      <c r="U177" s="4"/>
    </row>
    <row r="178" spans="2:21" x14ac:dyDescent="0.25">
      <c r="B178">
        <v>52.960978190129602</v>
      </c>
      <c r="C178">
        <v>22.069047819222099</v>
      </c>
      <c r="I178" s="4"/>
      <c r="S178" s="4"/>
      <c r="U178" s="4"/>
    </row>
    <row r="179" spans="2:21" x14ac:dyDescent="0.25">
      <c r="B179">
        <v>33.4394388336407</v>
      </c>
      <c r="C179">
        <v>13.738454397339</v>
      </c>
      <c r="I179" s="4"/>
      <c r="S179" s="4"/>
      <c r="U179" s="4"/>
    </row>
    <row r="180" spans="2:21" x14ac:dyDescent="0.25">
      <c r="B180">
        <v>21.325328114059001</v>
      </c>
      <c r="C180">
        <v>8.73977416029709</v>
      </c>
      <c r="I180" s="4"/>
      <c r="S180" s="4"/>
      <c r="U180" s="4"/>
    </row>
    <row r="181" spans="2:21" x14ac:dyDescent="0.25">
      <c r="B181">
        <v>56.883786791750701</v>
      </c>
      <c r="C181">
        <v>23.504518231053801</v>
      </c>
      <c r="I181" s="4"/>
      <c r="S181" s="4"/>
      <c r="U181" s="4"/>
    </row>
    <row r="182" spans="2:21" x14ac:dyDescent="0.25">
      <c r="B182">
        <v>38.189604424222097</v>
      </c>
      <c r="C182">
        <v>15.667025025440701</v>
      </c>
      <c r="I182" s="4"/>
      <c r="S182" s="4"/>
      <c r="U182" s="4"/>
    </row>
    <row r="183" spans="2:21" x14ac:dyDescent="0.25">
      <c r="B183">
        <v>76.164345002018194</v>
      </c>
      <c r="C183">
        <v>31.7081741088572</v>
      </c>
      <c r="I183" s="4"/>
      <c r="S183" s="4"/>
      <c r="U183" s="4"/>
    </row>
    <row r="184" spans="2:21" x14ac:dyDescent="0.25">
      <c r="B184">
        <v>41.384827850273702</v>
      </c>
      <c r="C184">
        <v>17.6193040893349</v>
      </c>
      <c r="I184" s="4"/>
      <c r="S184" s="4"/>
      <c r="U184" s="4"/>
    </row>
    <row r="185" spans="2:21" x14ac:dyDescent="0.25">
      <c r="B185">
        <v>23.457020072437199</v>
      </c>
      <c r="C185">
        <v>9.7646671207329003</v>
      </c>
      <c r="I185" s="4"/>
      <c r="S185" s="4"/>
      <c r="U185" s="4"/>
    </row>
    <row r="186" spans="2:21" x14ac:dyDescent="0.25">
      <c r="B186">
        <v>49.571183648243398</v>
      </c>
      <c r="C186">
        <v>20.958564627017498</v>
      </c>
      <c r="I186" s="4"/>
      <c r="S186" s="4"/>
      <c r="U186" s="4"/>
    </row>
    <row r="187" spans="2:21" x14ac:dyDescent="0.25">
      <c r="B187">
        <v>41.1801958804568</v>
      </c>
      <c r="C187">
        <v>17.1188745171834</v>
      </c>
      <c r="I187" s="4"/>
      <c r="S187" s="4"/>
      <c r="U187" s="4"/>
    </row>
    <row r="188" spans="2:21" x14ac:dyDescent="0.25">
      <c r="B188">
        <v>34.030532107332498</v>
      </c>
      <c r="C188">
        <v>14.0222687513095</v>
      </c>
      <c r="I188" s="4"/>
      <c r="S188" s="4"/>
      <c r="U188" s="4"/>
    </row>
    <row r="189" spans="2:21" x14ac:dyDescent="0.25">
      <c r="B189">
        <v>45.067359528595198</v>
      </c>
      <c r="C189">
        <v>18.517760270425601</v>
      </c>
      <c r="I189" s="4"/>
      <c r="S189" s="4"/>
      <c r="U189" s="4"/>
    </row>
    <row r="190" spans="2:21" x14ac:dyDescent="0.25">
      <c r="B190">
        <v>56.150689114388797</v>
      </c>
      <c r="C190">
        <v>23.366158305341099</v>
      </c>
      <c r="I190" s="4"/>
      <c r="S190" s="4"/>
      <c r="U190" s="4"/>
    </row>
    <row r="191" spans="2:21" x14ac:dyDescent="0.25">
      <c r="B191">
        <v>46.917976292669799</v>
      </c>
      <c r="C191">
        <v>19.389165294274001</v>
      </c>
      <c r="I191" s="4"/>
      <c r="S191" s="4"/>
      <c r="U191" s="4"/>
    </row>
    <row r="192" spans="2:21" x14ac:dyDescent="0.25">
      <c r="B192">
        <v>29.977665428957401</v>
      </c>
      <c r="C192">
        <v>12.3361899305318</v>
      </c>
      <c r="I192" s="4"/>
      <c r="S192" s="4"/>
      <c r="U192" s="4"/>
    </row>
    <row r="193" spans="2:21" x14ac:dyDescent="0.25">
      <c r="B193">
        <v>16.516457696556898</v>
      </c>
      <c r="C193">
        <v>6.8667640451305401</v>
      </c>
      <c r="I193" s="4"/>
      <c r="S193" s="4"/>
      <c r="U193" s="4"/>
    </row>
    <row r="194" spans="2:21" x14ac:dyDescent="0.25">
      <c r="B194">
        <v>31.6017861682583</v>
      </c>
      <c r="C194">
        <v>13.037311460974101</v>
      </c>
      <c r="I194" s="4"/>
      <c r="S194" s="4"/>
      <c r="U194" s="4"/>
    </row>
    <row r="195" spans="2:21" x14ac:dyDescent="0.25">
      <c r="B195">
        <v>45.703184112061898</v>
      </c>
      <c r="C195">
        <v>18.958855504634801</v>
      </c>
      <c r="I195" s="4"/>
      <c r="S195" s="4"/>
      <c r="U195" s="4"/>
    </row>
    <row r="196" spans="2:21" x14ac:dyDescent="0.25">
      <c r="B196">
        <v>65.1506647474598</v>
      </c>
      <c r="C196">
        <v>27.171803835090099</v>
      </c>
      <c r="I196" s="4"/>
      <c r="S196" s="4"/>
      <c r="U196" s="4"/>
    </row>
    <row r="197" spans="2:21" x14ac:dyDescent="0.25">
      <c r="B197">
        <v>39.267573705846701</v>
      </c>
      <c r="C197">
        <v>16.190350310518301</v>
      </c>
      <c r="I197" s="4"/>
      <c r="S197" s="4"/>
      <c r="U197" s="4"/>
    </row>
    <row r="198" spans="2:21" x14ac:dyDescent="0.25">
      <c r="B198">
        <v>42.323028796225501</v>
      </c>
      <c r="C198">
        <v>17.420693773800998</v>
      </c>
      <c r="I198" s="4"/>
      <c r="S198" s="4"/>
      <c r="U198" s="4"/>
    </row>
    <row r="199" spans="2:21" x14ac:dyDescent="0.25">
      <c r="B199">
        <v>32.276396102612502</v>
      </c>
      <c r="C199">
        <v>13.3524742551641</v>
      </c>
      <c r="I199" s="4"/>
      <c r="S199" s="4"/>
      <c r="U199" s="4"/>
    </row>
    <row r="200" spans="2:21" x14ac:dyDescent="0.25">
      <c r="B200">
        <v>29.802444614480802</v>
      </c>
      <c r="C200">
        <v>12.3213854439987</v>
      </c>
      <c r="I200" s="4"/>
      <c r="S200" s="4"/>
      <c r="U200" s="4"/>
    </row>
    <row r="201" spans="2:21" x14ac:dyDescent="0.25">
      <c r="B201">
        <v>41.022309136066397</v>
      </c>
      <c r="C201">
        <v>16.875218748489399</v>
      </c>
      <c r="I201" s="4"/>
      <c r="S201" s="4"/>
      <c r="U201" s="4"/>
    </row>
    <row r="202" spans="2:21" x14ac:dyDescent="0.25">
      <c r="B202">
        <v>31.967990668892998</v>
      </c>
      <c r="C202">
        <v>13.136996471609001</v>
      </c>
      <c r="I202" s="4"/>
      <c r="S202" s="4"/>
      <c r="U202" s="4"/>
    </row>
    <row r="203" spans="2:21" x14ac:dyDescent="0.25">
      <c r="B203">
        <v>56.2107318734055</v>
      </c>
      <c r="C203">
        <v>23.137057502642101</v>
      </c>
      <c r="I203" s="4"/>
      <c r="S203" s="4"/>
      <c r="U203" s="4"/>
    </row>
    <row r="204" spans="2:21" x14ac:dyDescent="0.25">
      <c r="B204">
        <v>39.792361142036498</v>
      </c>
      <c r="C204">
        <v>16.417040446767999</v>
      </c>
      <c r="I204" s="4"/>
      <c r="S204" s="4"/>
      <c r="U204" s="4"/>
    </row>
    <row r="205" spans="2:21" x14ac:dyDescent="0.25">
      <c r="B205">
        <v>26.722308620281598</v>
      </c>
      <c r="C205">
        <v>11.0438029153354</v>
      </c>
      <c r="I205" s="4"/>
      <c r="S205" s="4"/>
      <c r="U205" s="4"/>
    </row>
    <row r="206" spans="2:21" x14ac:dyDescent="0.25">
      <c r="B206">
        <v>31.471938440552599</v>
      </c>
      <c r="C206">
        <v>12.9677858401915</v>
      </c>
      <c r="I206" s="4"/>
      <c r="S206" s="4"/>
      <c r="U206" s="4"/>
    </row>
    <row r="207" spans="2:21" x14ac:dyDescent="0.25">
      <c r="B207">
        <v>45.053381515456003</v>
      </c>
      <c r="C207">
        <v>18.491038932226299</v>
      </c>
      <c r="I207" s="4"/>
      <c r="S207" s="4"/>
      <c r="U207" s="4"/>
    </row>
    <row r="208" spans="2:21" x14ac:dyDescent="0.25">
      <c r="B208">
        <v>35.553460441118602</v>
      </c>
      <c r="C208">
        <v>14.6963924217144</v>
      </c>
      <c r="I208" s="4"/>
      <c r="S208" s="4"/>
      <c r="U208" s="4"/>
    </row>
    <row r="209" spans="2:21" x14ac:dyDescent="0.25">
      <c r="B209">
        <v>36.111653390691302</v>
      </c>
      <c r="C209">
        <v>14.912220603038</v>
      </c>
      <c r="I209" s="4"/>
      <c r="S209" s="4"/>
      <c r="U209" s="4"/>
    </row>
    <row r="210" spans="2:21" x14ac:dyDescent="0.25">
      <c r="B210">
        <v>35.412833704190398</v>
      </c>
      <c r="C210">
        <v>14.582518196886999</v>
      </c>
      <c r="I210" s="4"/>
      <c r="S210" s="4"/>
      <c r="U210" s="4"/>
    </row>
    <row r="211" spans="2:21" x14ac:dyDescent="0.25">
      <c r="B211">
        <v>45.381436185540103</v>
      </c>
      <c r="C211">
        <v>18.686044474151</v>
      </c>
      <c r="I211" s="4"/>
      <c r="S211" s="4"/>
      <c r="U211" s="4"/>
    </row>
    <row r="212" spans="2:21" x14ac:dyDescent="0.25">
      <c r="B212">
        <v>42.788704269382897</v>
      </c>
      <c r="C212">
        <v>17.482183622443099</v>
      </c>
      <c r="I212" s="4"/>
      <c r="S212" s="4"/>
      <c r="U212" s="4"/>
    </row>
    <row r="213" spans="2:21" x14ac:dyDescent="0.25">
      <c r="B213">
        <v>30.485925369013799</v>
      </c>
      <c r="C213">
        <v>12.522142900686299</v>
      </c>
      <c r="I213" s="4"/>
      <c r="S213" s="4"/>
      <c r="U213" s="4"/>
    </row>
    <row r="214" spans="2:21" x14ac:dyDescent="0.25">
      <c r="B214">
        <v>28.794576489330201</v>
      </c>
      <c r="C214">
        <v>11.656435081236401</v>
      </c>
      <c r="I214" s="4"/>
      <c r="S214" s="4"/>
      <c r="U214" s="4"/>
    </row>
    <row r="215" spans="2:21" x14ac:dyDescent="0.25">
      <c r="B215">
        <v>40.204583087558802</v>
      </c>
      <c r="C215">
        <v>16.601381044965201</v>
      </c>
      <c r="I215" s="4"/>
      <c r="S215" s="4"/>
      <c r="U215" s="4"/>
    </row>
    <row r="216" spans="2:21" x14ac:dyDescent="0.25">
      <c r="B216">
        <v>39.934071655301501</v>
      </c>
      <c r="C216">
        <v>16.534110924334801</v>
      </c>
      <c r="I216" s="4"/>
      <c r="S216" s="4"/>
      <c r="U216" s="4"/>
    </row>
    <row r="217" spans="2:21" x14ac:dyDescent="0.25">
      <c r="B217">
        <v>44.493868049112102</v>
      </c>
      <c r="C217">
        <v>18.313352973910799</v>
      </c>
      <c r="I217" s="4"/>
      <c r="S217" s="4"/>
      <c r="U217" s="4"/>
    </row>
    <row r="218" spans="2:21" x14ac:dyDescent="0.25">
      <c r="B218">
        <v>37.000168655302197</v>
      </c>
      <c r="C218">
        <v>15.1442451255588</v>
      </c>
      <c r="I218" s="4"/>
      <c r="S218" s="4"/>
      <c r="U218" s="4"/>
    </row>
    <row r="219" spans="2:21" x14ac:dyDescent="0.25">
      <c r="B219">
        <v>47.9118232887989</v>
      </c>
      <c r="C219">
        <v>19.619105310455701</v>
      </c>
      <c r="I219" s="4"/>
      <c r="S219" s="4"/>
      <c r="U219" s="4"/>
    </row>
    <row r="220" spans="2:21" x14ac:dyDescent="0.25">
      <c r="B220">
        <v>71.278417559472203</v>
      </c>
      <c r="C220">
        <v>29.356257798052201</v>
      </c>
      <c r="I220" s="4"/>
      <c r="S220" s="4"/>
      <c r="U220" s="4"/>
    </row>
    <row r="221" spans="2:21" x14ac:dyDescent="0.25">
      <c r="B221">
        <v>60.9730084198819</v>
      </c>
      <c r="C221">
        <v>25.1549769540668</v>
      </c>
      <c r="I221" s="4"/>
      <c r="S221" s="4"/>
      <c r="U221" s="4"/>
    </row>
    <row r="222" spans="2:21" x14ac:dyDescent="0.25">
      <c r="B222">
        <v>32.662093480150297</v>
      </c>
      <c r="C222">
        <v>13.4705149937224</v>
      </c>
      <c r="I222" s="4"/>
      <c r="S222" s="4"/>
      <c r="U222" s="4"/>
    </row>
    <row r="223" spans="2:21" x14ac:dyDescent="0.25">
      <c r="B223">
        <v>36.395359228653</v>
      </c>
      <c r="C223">
        <v>14.9729973303959</v>
      </c>
      <c r="I223" s="4"/>
      <c r="S223" s="4"/>
      <c r="U223" s="4"/>
    </row>
    <row r="224" spans="2:21" x14ac:dyDescent="0.25">
      <c r="B224">
        <v>71.952332566571997</v>
      </c>
      <c r="C224">
        <v>29.3201183089738</v>
      </c>
      <c r="I224" s="4"/>
      <c r="S224" s="4"/>
      <c r="U224" s="4"/>
    </row>
    <row r="225" spans="2:21" x14ac:dyDescent="0.25">
      <c r="B225">
        <v>21.400451759130199</v>
      </c>
      <c r="C225">
        <v>8.8914089372518408</v>
      </c>
      <c r="I225" s="4"/>
      <c r="S225" s="4"/>
      <c r="U225" s="4"/>
    </row>
    <row r="226" spans="2:21" x14ac:dyDescent="0.25">
      <c r="B226">
        <v>48.469236625592998</v>
      </c>
      <c r="C226">
        <v>19.9648490253905</v>
      </c>
      <c r="I226" s="4"/>
      <c r="S226" s="4"/>
      <c r="U226" s="4"/>
    </row>
    <row r="227" spans="2:21" x14ac:dyDescent="0.25">
      <c r="B227">
        <v>75.839947102103295</v>
      </c>
      <c r="C227">
        <v>31.574840413989101</v>
      </c>
      <c r="I227" s="4"/>
      <c r="S227" s="4"/>
      <c r="U227" s="4"/>
    </row>
    <row r="228" spans="2:21" x14ac:dyDescent="0.25">
      <c r="B228">
        <v>14.775743181766099</v>
      </c>
      <c r="C228">
        <v>6.0659760844896899</v>
      </c>
      <c r="I228" s="4"/>
      <c r="S228" s="4"/>
      <c r="U228" s="4"/>
    </row>
    <row r="229" spans="2:21" x14ac:dyDescent="0.25">
      <c r="B229">
        <v>34.0576068084222</v>
      </c>
      <c r="C229">
        <v>13.840328692664499</v>
      </c>
      <c r="I229" s="4"/>
      <c r="S229" s="4"/>
      <c r="U229" s="4"/>
    </row>
    <row r="230" spans="2:21" x14ac:dyDescent="0.25">
      <c r="B230">
        <v>12.363823051166101</v>
      </c>
      <c r="C230">
        <v>5.0730300780745603</v>
      </c>
      <c r="I230" s="4"/>
      <c r="S230" s="4"/>
      <c r="U230" s="4"/>
    </row>
    <row r="231" spans="2:21" x14ac:dyDescent="0.25">
      <c r="B231">
        <v>44.015144588186203</v>
      </c>
      <c r="C231">
        <v>18.169787691649098</v>
      </c>
      <c r="I231" s="4"/>
      <c r="S231" s="4"/>
      <c r="U231" s="4"/>
    </row>
    <row r="232" spans="2:21" x14ac:dyDescent="0.25">
      <c r="B232">
        <v>25.0046199195118</v>
      </c>
      <c r="C232">
        <v>10.2676681648854</v>
      </c>
      <c r="I232" s="4"/>
      <c r="S232" s="4"/>
      <c r="U232" s="4"/>
    </row>
    <row r="233" spans="2:21" x14ac:dyDescent="0.25">
      <c r="B233">
        <v>31.717936349780999</v>
      </c>
      <c r="C233">
        <v>12.9577255819414</v>
      </c>
      <c r="I233" s="4"/>
      <c r="S233" s="4"/>
      <c r="U233" s="4"/>
    </row>
    <row r="234" spans="2:21" x14ac:dyDescent="0.25">
      <c r="B234">
        <v>39.783106936488302</v>
      </c>
      <c r="C234">
        <v>16.2880826342641</v>
      </c>
      <c r="I234" s="4"/>
      <c r="S234" s="4"/>
      <c r="U234" s="4"/>
    </row>
    <row r="235" spans="2:21" x14ac:dyDescent="0.25">
      <c r="B235">
        <v>17.306222237733799</v>
      </c>
      <c r="C235">
        <v>7.11447969154188</v>
      </c>
      <c r="I235" s="4"/>
      <c r="S235" s="4"/>
      <c r="U235" s="4"/>
    </row>
    <row r="236" spans="2:21" x14ac:dyDescent="0.25">
      <c r="B236">
        <v>14.933437314552201</v>
      </c>
      <c r="C236">
        <v>6.1162306335656798</v>
      </c>
      <c r="I236" s="4"/>
      <c r="S236" s="4"/>
      <c r="U236" s="4"/>
    </row>
    <row r="237" spans="2:21" x14ac:dyDescent="0.25">
      <c r="B237">
        <v>20.189794509693499</v>
      </c>
      <c r="C237">
        <v>8.29670113478765</v>
      </c>
      <c r="I237" s="4"/>
      <c r="S237" s="4"/>
      <c r="U237" s="4"/>
    </row>
    <row r="238" spans="2:21" x14ac:dyDescent="0.25">
      <c r="B238">
        <v>40.704048117656399</v>
      </c>
      <c r="C238">
        <v>16.719597268150299</v>
      </c>
      <c r="I238" s="4"/>
      <c r="S238" s="4"/>
      <c r="U238" s="4"/>
    </row>
    <row r="239" spans="2:21" x14ac:dyDescent="0.25">
      <c r="B239">
        <v>21.808133111933799</v>
      </c>
      <c r="C239">
        <v>8.9366292531931499</v>
      </c>
      <c r="I239" s="4"/>
      <c r="S239" s="4"/>
      <c r="U239" s="4"/>
    </row>
    <row r="240" spans="2:21" x14ac:dyDescent="0.25">
      <c r="B240">
        <v>37.665628338625801</v>
      </c>
      <c r="C240">
        <v>15.4703819881149</v>
      </c>
      <c r="I240" s="4"/>
      <c r="S240" s="4"/>
      <c r="U240" s="4"/>
    </row>
    <row r="241" spans="2:21" x14ac:dyDescent="0.25">
      <c r="B241">
        <v>21.173755132339299</v>
      </c>
      <c r="C241">
        <v>8.6343938737132007</v>
      </c>
      <c r="I241" s="4"/>
      <c r="S241" s="4"/>
      <c r="U241" s="4"/>
    </row>
    <row r="242" spans="2:21" x14ac:dyDescent="0.25">
      <c r="B242">
        <v>17.358884187906899</v>
      </c>
      <c r="C242">
        <v>7.0881010214084696</v>
      </c>
      <c r="I242" s="4"/>
      <c r="S242" s="4"/>
      <c r="U242" s="4"/>
    </row>
    <row r="243" spans="2:21" x14ac:dyDescent="0.25">
      <c r="B243">
        <v>12.324671898623</v>
      </c>
      <c r="C243">
        <v>5.1729465361282898</v>
      </c>
      <c r="I243" s="4"/>
      <c r="S243" s="4"/>
      <c r="U243" s="4"/>
    </row>
    <row r="244" spans="2:21" x14ac:dyDescent="0.25">
      <c r="B244">
        <v>13.153522918372699</v>
      </c>
      <c r="C244">
        <v>5.4317473270365904</v>
      </c>
      <c r="I244" s="4"/>
      <c r="S244" s="4"/>
      <c r="U244" s="4"/>
    </row>
    <row r="245" spans="2:21" x14ac:dyDescent="0.25">
      <c r="B245">
        <v>13.3737273361789</v>
      </c>
      <c r="C245">
        <v>5.5120356893851197</v>
      </c>
      <c r="I245" s="4"/>
      <c r="S245" s="4"/>
      <c r="U245" s="4"/>
    </row>
    <row r="246" spans="2:21" x14ac:dyDescent="0.25">
      <c r="B246">
        <v>34.561625069991003</v>
      </c>
      <c r="C246">
        <v>14.1597656990213</v>
      </c>
      <c r="I246" s="4"/>
      <c r="S246" s="4"/>
      <c r="U246" s="4"/>
    </row>
    <row r="247" spans="2:21" x14ac:dyDescent="0.25">
      <c r="B247">
        <v>13.1035592197738</v>
      </c>
      <c r="C247">
        <v>5.4068505661274404</v>
      </c>
      <c r="I247" s="4"/>
      <c r="S247" s="4"/>
      <c r="U247" s="4"/>
    </row>
    <row r="248" spans="2:21" x14ac:dyDescent="0.25">
      <c r="B248">
        <v>39.7336484456996</v>
      </c>
      <c r="C248">
        <v>16.2414512368331</v>
      </c>
      <c r="I248" s="4"/>
      <c r="S248" s="4"/>
      <c r="U248" s="4"/>
    </row>
    <row r="249" spans="2:21" x14ac:dyDescent="0.25">
      <c r="B249">
        <v>53.146084544506103</v>
      </c>
      <c r="C249">
        <v>21.682597488221202</v>
      </c>
      <c r="I249" s="4"/>
      <c r="S249" s="4"/>
      <c r="U249" s="4"/>
    </row>
    <row r="250" spans="2:21" x14ac:dyDescent="0.25">
      <c r="B250">
        <v>27.319112035807201</v>
      </c>
      <c r="C250">
        <v>11.288618076573901</v>
      </c>
      <c r="I250" s="4"/>
      <c r="S250" s="4"/>
      <c r="U250" s="4"/>
    </row>
    <row r="251" spans="2:21" x14ac:dyDescent="0.25">
      <c r="B251">
        <v>16.892759270217901</v>
      </c>
      <c r="C251">
        <v>6.9350228251887502</v>
      </c>
      <c r="I251" s="4"/>
      <c r="S251" s="4"/>
      <c r="U251" s="4"/>
    </row>
    <row r="252" spans="2:21" x14ac:dyDescent="0.25">
      <c r="B252">
        <v>18.110769138430001</v>
      </c>
      <c r="C252">
        <v>7.70120441196946</v>
      </c>
      <c r="I252" s="4"/>
      <c r="S252" s="4"/>
      <c r="U252" s="4"/>
    </row>
    <row r="253" spans="2:21" x14ac:dyDescent="0.25">
      <c r="B253">
        <v>24.423025557339599</v>
      </c>
      <c r="C253">
        <v>10.0426072736071</v>
      </c>
      <c r="I253" s="4"/>
      <c r="S253" s="4"/>
      <c r="U253" s="4"/>
    </row>
    <row r="254" spans="2:21" x14ac:dyDescent="0.25">
      <c r="B254">
        <v>36.2234173093469</v>
      </c>
      <c r="C254">
        <v>15.1540063895971</v>
      </c>
      <c r="I254" s="4"/>
      <c r="S254" s="4"/>
      <c r="U254" s="4"/>
    </row>
    <row r="255" spans="2:21" x14ac:dyDescent="0.25">
      <c r="B255">
        <v>28.489554444869501</v>
      </c>
      <c r="C255">
        <v>11.7834505482511</v>
      </c>
      <c r="I255" s="4"/>
      <c r="S255" s="4"/>
      <c r="U255" s="4"/>
    </row>
    <row r="256" spans="2:21" x14ac:dyDescent="0.25">
      <c r="B256">
        <v>8.5440754935843</v>
      </c>
      <c r="C256">
        <v>3.5359017442329099</v>
      </c>
      <c r="I256" s="4"/>
      <c r="S256" s="4"/>
      <c r="U256" s="4"/>
    </row>
    <row r="257" spans="2:21" x14ac:dyDescent="0.25">
      <c r="B257">
        <v>78.3294064635176</v>
      </c>
      <c r="C257">
        <v>31.797245613752001</v>
      </c>
      <c r="I257" s="4"/>
      <c r="S257" s="4"/>
      <c r="U257" s="4"/>
    </row>
    <row r="258" spans="2:21" x14ac:dyDescent="0.25">
      <c r="B258">
        <v>37.146146206684897</v>
      </c>
      <c r="C258">
        <v>15.1409309366441</v>
      </c>
      <c r="I258" s="4"/>
      <c r="S258" s="4"/>
      <c r="U258" s="4"/>
    </row>
    <row r="259" spans="2:21" x14ac:dyDescent="0.25">
      <c r="B259">
        <v>12.7905177764678</v>
      </c>
      <c r="C259">
        <v>5.4771408897599896</v>
      </c>
      <c r="I259" s="4"/>
      <c r="S259" s="4"/>
      <c r="U259" s="4"/>
    </row>
    <row r="260" spans="2:21" x14ac:dyDescent="0.25">
      <c r="B260">
        <v>40.523370297404398</v>
      </c>
      <c r="C260">
        <v>16.733925249517402</v>
      </c>
      <c r="I260" s="4"/>
      <c r="S260" s="4"/>
      <c r="U260" s="4"/>
    </row>
    <row r="261" spans="2:21" x14ac:dyDescent="0.25">
      <c r="B261">
        <v>27.489009099459899</v>
      </c>
      <c r="C261">
        <v>11.3204635875338</v>
      </c>
      <c r="I261" s="4"/>
      <c r="S261" s="4"/>
      <c r="U261" s="4"/>
    </row>
    <row r="262" spans="2:21" x14ac:dyDescent="0.25">
      <c r="B262">
        <v>31.413371417776101</v>
      </c>
      <c r="C262">
        <v>12.969869675341601</v>
      </c>
      <c r="I262" s="4"/>
      <c r="S262" s="4"/>
      <c r="U262" s="4"/>
    </row>
    <row r="263" spans="2:21" x14ac:dyDescent="0.25">
      <c r="B263">
        <v>33.179281645494797</v>
      </c>
      <c r="C263">
        <v>13.599891199991999</v>
      </c>
      <c r="I263" s="4"/>
      <c r="S263" s="4"/>
      <c r="U263" s="4"/>
    </row>
    <row r="264" spans="2:21" x14ac:dyDescent="0.25">
      <c r="B264">
        <v>27.177292111814101</v>
      </c>
      <c r="C264">
        <v>11.142821792827499</v>
      </c>
      <c r="I264" s="4"/>
      <c r="S264" s="4"/>
      <c r="U264" s="4"/>
    </row>
    <row r="265" spans="2:21" x14ac:dyDescent="0.25">
      <c r="B265">
        <v>16.9247890020665</v>
      </c>
      <c r="C265">
        <v>6.9426114116375004</v>
      </c>
      <c r="I265" s="4"/>
      <c r="S265" s="4"/>
      <c r="U265" s="4"/>
    </row>
    <row r="266" spans="2:21" x14ac:dyDescent="0.25">
      <c r="B266">
        <v>50.046862841578502</v>
      </c>
      <c r="C266">
        <v>20.571609151076</v>
      </c>
      <c r="I266" s="4"/>
      <c r="S266" s="4"/>
      <c r="U266" s="4"/>
    </row>
    <row r="267" spans="2:21" x14ac:dyDescent="0.25">
      <c r="B267">
        <v>62.650663228101699</v>
      </c>
      <c r="C267">
        <v>26.119561453188201</v>
      </c>
      <c r="I267" s="4"/>
      <c r="S267" s="4"/>
      <c r="U267" s="4"/>
    </row>
    <row r="268" spans="2:21" x14ac:dyDescent="0.25">
      <c r="B268">
        <v>45.0856006484345</v>
      </c>
      <c r="C268">
        <v>18.212460220765401</v>
      </c>
      <c r="I268" s="4"/>
      <c r="S268" s="4"/>
      <c r="U268" s="4"/>
    </row>
    <row r="269" spans="2:21" x14ac:dyDescent="0.25">
      <c r="B269">
        <v>65.693038293862799</v>
      </c>
      <c r="C269">
        <v>27.044955393593501</v>
      </c>
      <c r="I269" s="4"/>
      <c r="S269" s="4"/>
      <c r="U269" s="4"/>
    </row>
    <row r="270" spans="2:21" x14ac:dyDescent="0.25">
      <c r="B270">
        <v>22.483756400688801</v>
      </c>
      <c r="C270">
        <v>9.25935732908167</v>
      </c>
      <c r="I270" s="4"/>
      <c r="S270" s="4"/>
      <c r="U270" s="4"/>
    </row>
    <row r="271" spans="2:21" x14ac:dyDescent="0.25">
      <c r="B271">
        <v>29.778865378311099</v>
      </c>
      <c r="C271">
        <v>12.198017401398699</v>
      </c>
      <c r="I271" s="4"/>
      <c r="S271" s="4"/>
      <c r="U271" s="4"/>
    </row>
    <row r="272" spans="2:21" x14ac:dyDescent="0.25">
      <c r="B272">
        <v>104.266786151826</v>
      </c>
      <c r="C272">
        <v>43.848109237241303</v>
      </c>
      <c r="I272" s="4"/>
      <c r="S272" s="4"/>
      <c r="U272" s="4"/>
    </row>
    <row r="273" spans="2:21" x14ac:dyDescent="0.25">
      <c r="B273">
        <v>52.613059388876103</v>
      </c>
      <c r="C273">
        <v>21.803951440936402</v>
      </c>
      <c r="I273" s="4"/>
      <c r="S273" s="4"/>
      <c r="U273" s="4"/>
    </row>
    <row r="274" spans="2:21" x14ac:dyDescent="0.25">
      <c r="B274">
        <v>46.6363060087169</v>
      </c>
      <c r="C274">
        <v>19.355094801378101</v>
      </c>
      <c r="I274" s="4"/>
      <c r="S274" s="4"/>
      <c r="U274" s="4"/>
    </row>
    <row r="275" spans="2:21" x14ac:dyDescent="0.25">
      <c r="B275">
        <v>16.737051368106201</v>
      </c>
      <c r="C275">
        <v>6.8544397385898002</v>
      </c>
      <c r="I275" s="4"/>
      <c r="S275" s="4"/>
      <c r="U275" s="4"/>
    </row>
    <row r="276" spans="2:21" x14ac:dyDescent="0.25">
      <c r="B276">
        <v>1.2852735813979499</v>
      </c>
      <c r="C276">
        <v>0.53439237611259505</v>
      </c>
      <c r="I276" s="4"/>
      <c r="S276" s="4"/>
      <c r="U276" s="4"/>
    </row>
    <row r="277" spans="2:21" x14ac:dyDescent="0.25">
      <c r="B277">
        <v>24.460362806298999</v>
      </c>
      <c r="C277">
        <v>9.8368950354925602</v>
      </c>
      <c r="I277" s="4"/>
      <c r="S277" s="4"/>
      <c r="U277" s="4"/>
    </row>
    <row r="278" spans="2:21" x14ac:dyDescent="0.25">
      <c r="B278">
        <v>17.8137771729183</v>
      </c>
      <c r="C278">
        <v>7.3929395603616497</v>
      </c>
      <c r="I278" s="4"/>
      <c r="S278" s="4"/>
      <c r="U278" s="4"/>
    </row>
    <row r="279" spans="2:21" x14ac:dyDescent="0.25">
      <c r="B279">
        <v>19.961481502027901</v>
      </c>
      <c r="C279">
        <v>8.2382154411113593</v>
      </c>
      <c r="I279" s="4"/>
      <c r="S279" s="4"/>
      <c r="U279" s="4"/>
    </row>
    <row r="280" spans="2:21" x14ac:dyDescent="0.25">
      <c r="B280">
        <v>0.35055607859445498</v>
      </c>
      <c r="C280">
        <v>0.15001731956952899</v>
      </c>
      <c r="I280" s="4"/>
      <c r="S280" s="4"/>
      <c r="U280" s="4"/>
    </row>
    <row r="281" spans="2:21" x14ac:dyDescent="0.25">
      <c r="B281">
        <v>10.189476563239401</v>
      </c>
      <c r="C281">
        <v>4.3059686595390803</v>
      </c>
      <c r="I281" s="4"/>
      <c r="S281" s="4"/>
      <c r="U281" s="4"/>
    </row>
    <row r="282" spans="2:21" x14ac:dyDescent="0.25">
      <c r="B282">
        <v>11.848469629622301</v>
      </c>
      <c r="C282">
        <v>5.0014795515907799</v>
      </c>
      <c r="I282" s="4"/>
      <c r="S282" s="4"/>
      <c r="U282" s="4"/>
    </row>
    <row r="283" spans="2:21" x14ac:dyDescent="0.25">
      <c r="B283">
        <v>39.5474205977726</v>
      </c>
      <c r="C283">
        <v>16.286319709009899</v>
      </c>
      <c r="I283" s="4"/>
      <c r="S283" s="4"/>
      <c r="U283" s="4"/>
    </row>
    <row r="284" spans="2:21" x14ac:dyDescent="0.25">
      <c r="B284">
        <v>22.002314922365301</v>
      </c>
      <c r="C284">
        <v>8.9185286814681799</v>
      </c>
      <c r="I284" s="4"/>
      <c r="S284" s="4"/>
      <c r="U284" s="4"/>
    </row>
    <row r="285" spans="2:21" x14ac:dyDescent="0.25">
      <c r="B285">
        <v>18.464550088476599</v>
      </c>
      <c r="C285">
        <v>7.5020876218027404</v>
      </c>
      <c r="I285" s="4"/>
      <c r="S285" s="4"/>
      <c r="U285" s="4"/>
    </row>
    <row r="286" spans="2:21" x14ac:dyDescent="0.25">
      <c r="B286">
        <v>24.779201780022301</v>
      </c>
      <c r="C286">
        <v>10.2284090783227</v>
      </c>
      <c r="I286" s="4"/>
      <c r="S286" s="4"/>
      <c r="U286" s="4"/>
    </row>
    <row r="287" spans="2:21" x14ac:dyDescent="0.25">
      <c r="B287">
        <v>16.7239220692027</v>
      </c>
      <c r="C287">
        <v>6.7973372179933298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Kopcak</cp:lastModifiedBy>
  <dcterms:created xsi:type="dcterms:W3CDTF">2024-10-02T20:03:36Z</dcterms:created>
  <dcterms:modified xsi:type="dcterms:W3CDTF">2024-10-05T14:51:40Z</dcterms:modified>
</cp:coreProperties>
</file>